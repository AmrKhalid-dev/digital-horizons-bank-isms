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pivotTables/pivotTable4.xml" ContentType="application/vnd.openxmlformats-officedocument.spreadsheetml.pivot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ns10="http://schemas.microsoft.com/office/spreadsheetml/2018/calcfeatures" xmlns:ns5="http://schemas.microsoft.com/office/spreadsheetml/2016/revision10" xmlns:r="http://schemas.openxmlformats.org/officeDocument/2006/relationships" xmlns:x14="http://schemas.microsoft.com/office/spreadsheetml/2009/9/main" xmlns:x15="http://schemas.microsoft.com/office/spreadsheetml/2010/11/main" xmlns:x15ac="http://schemas.microsoft.com/office/spreadsheetml/2010/11/ac" xmlns:xr="http://schemas.microsoft.com/office/spreadsheetml/2014/revision" xmlns:xr2="http://schemas.microsoft.com/office/spreadsheetml/2015/revision2" xmlns:xr6="http://schemas.microsoft.com/office/spreadsheetml/2016/revision6" xmlns:xr10="http://schemas.microsoft.com/office/spreadsheetml/2014/revision10" mc:Ignorable="x15 xr xr6 xr10 xr2">
  <fileVersion appName="xl" lastEdited="7" lowestEdited="7" rupBuild="25629"/>
  <workbookPr codeName="ThisWorkbook" hidePivotFieldList="1"/>
  <mc:AlternateContent>
    <mc:Choice Requires="x15">
      <x15ac:absPath url=""/>
    </mc:Choice>
  </mc:AlternateContent>
  <xr:revisionPtr revIDLastSave="224" documentId="8_{2BFD8531-13B1-41E2-8C60-BC688CD07B34}" xr6:coauthVersionLast="47" xr6:coauthVersionMax="47" ns5:uidLastSave="{753BD737-1202-468E-87B6-99D841C1FF3C}"/>
  <bookViews>
    <workbookView xWindow="-120" yWindow="-120" windowWidth="29040" windowHeight="15840" tabRatio="845" xr2:uid="{00000000-000D-0000-FFFF-FFFF00000000}"/>
  </bookViews>
  <sheets>
    <sheet name="Guidance" sheetId="46" r:id="rId1"/>
    <sheet name="Assessment Details" sheetId="47" r:id="rId2"/>
    <sheet name="Risk Assessment" sheetId="8" r:id="rId3"/>
    <sheet name="Dashboard" sheetId="33" r:id="rId4"/>
    <sheet name="Pre-treatment risks" sheetId="34" state="hidden" r:id="rId5"/>
    <sheet name="Pre-treat risk levels by owner" sheetId="35" state="hidden" r:id="rId6"/>
    <sheet name="Post-treatment risks" sheetId="36" state="hidden" r:id="rId7"/>
    <sheet name="Risks by risk level pre &amp; post" sheetId="37" state="hidden" r:id="rId8"/>
    <sheet name="Treatment option chosen" sheetId="38" state="hidden" r:id="rId9"/>
    <sheet name="Treatment cost " sheetId="39" state="hidden" r:id="rId10"/>
    <sheet name="Treatment action owner " sheetId="40" state="hidden" r:id="rId11"/>
    <sheet name="Reference Controls" sheetId="32" r:id="rId12"/>
    <sheet name="Example ATV Risks" sheetId="43" r:id="rId13"/>
    <sheet name="Example Assets" sheetId="44" r:id="rId14"/>
    <sheet name="Example Threats" sheetId="45" r:id="rId15"/>
    <sheet name="Likelihood" sheetId="13" r:id="rId16"/>
    <sheet name="Impact" sheetId="14" r:id="rId17"/>
    <sheet name="Selection Tables" sheetId="4" state="hidden" r:id="rId18"/>
    <sheet name="Pivot tables" sheetId="27" state="hidden" r:id="rId19"/>
  </sheets>
  <definedNames>
    <definedName name="NoRisksPre" localSheetId="3">#REF!</definedName>
    <definedName name="NoRisksPre">'Pivot tables'!$R$10</definedName>
    <definedName name="_xlnm.Print_Area" localSheetId="0">Guidance!$B$2:$B$26</definedName>
    <definedName name="_xlnm.Print_Area" localSheetId="11">'Reference Controls'!$A$1:$D$263</definedName>
    <definedName name="_xlnm.Print_Area" localSheetId="2">'Risk Assessment'!$A$1:$AD$33</definedName>
    <definedName name="_xlnm.Print_Titles" localSheetId="13">'Example Assets'!$12:$12</definedName>
    <definedName name="_xlnm.Print_Titles" localSheetId="12">'Example ATV Risks'!$12:$12</definedName>
    <definedName name="_xlnm.Print_Titles" localSheetId="11">'Reference Controls'!$11:$11</definedName>
    <definedName name="_xlnm.Print_Titles" localSheetId="2">'Risk Assessment'!$B:$H,'Risk Assessment'!$12:$13</definedName>
    <definedName name="Slicer_Post_Treatment_Risk_Level">#N/A</definedName>
    <definedName name="Slicer_Risk_level">#N/A</definedName>
    <definedName name="Slicer_Risk_Owner">#N/A</definedName>
    <definedName name="Slicer_Treatment_Action_Owner">#N/A</definedName>
    <definedName name="Slicer_Treatment_Action_Status">#N/A</definedName>
    <definedName name="Slicer_Treatment_option_chosen">#N/A</definedName>
  </definedNames>
  <calcPr calcId="191029" fullCalcOnLoad="1"/>
  <pivotCaches>
    <pivotCache cacheId="4" r:id="rId20"/>
    <pivotCache cacheId="5" r:id="rId21"/>
    <pivotCache cacheId="6" r:id="rId22"/>
    <pivotCache cacheId="7" r:id="rId23"/>
  </pivotCaches>
  <extLst>
    <ext uri="{79F54976-1DA5-4618-B147-4CDE4B953A38}">
      <x14:workbookPr/>
    </ext>
    <ext uri="{46BE6895-7355-4a93-B00E-2C351335B9C9}">
      <x15:slicerCaches>
        <x14:slicerCache r:id="rId24"/>
        <x14:slicerCache r:id="rId25"/>
        <x14:slicerCache r:id="rId26"/>
        <x14:slicerCache r:id="rId27"/>
        <x14:slicerCache r:id="rId28"/>
        <x14:slicerCache r:id="rId29"/>
      </x15:slicerCaches>
    </ext>
    <ext uri="{140A7094-0E35-4892-8432-C4D2E57EDEB5}">
      <x15:workbookPr chartTrackingRefBase="1"/>
    </ext>
    <ext uri="{B58B0392-4F1F-4190-BB64-5DF3571DCE5F}">
      <ns10:calcFeatures>
        <ns10:feature name="microsoft.com:RD"/>
        <ns10:feature name="microsoft.com:Single"/>
        <ns10:feature name="microsoft.com:FV"/>
        <ns10:feature name="microsoft.com:CNMTM"/>
      </ns10: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إدارة أمن المعلومات - بنك الآفاق الرقمية</author>
    <author>فريق حوكمة أمن المعلومات - بنك الآفاق الرقمية</author>
  </authors>
  <commentList>
    <comment ref="B12" authorId="0" shapeId="0" xr:uid="{38FA1EEA-3F67-40DE-B048-B27F26A95C96}">
      <text>
        <r>
          <rPr>
            <b/>
            <sz val="9"/>
            <color indexed="81"/>
            <rFont val="Tahoma"/>
            <family val="2"/>
          </rPr>
          <t xml:space="preserve">يصف هذا القسم طبيعة الخطر ومالك الخطر كما يتطلب معيار ISO/IEC 27001:2022 (البند 6.1.2).</t>
        </r>
      </text>
    </comment>
    <comment ref="I12" authorId="0" shapeId="0" xr:uid="{943B046B-31BE-4FF4-BCAA-EF33BDE1213A}">
      <text>
        <r>
          <rPr>
            <b/>
            <sz val="9"/>
            <color indexed="81"/>
            <rFont val="Tahoma"/>
            <family val="2"/>
          </rPr>
          <t xml:space="preserve">تقييم لمستوى الخطر الحالي مع مراعاة الضوابط المطبقة فعلاً لمعالجته (التقييم قبل المعالجة).</t>
        </r>
      </text>
    </comment>
    <comment ref="P12" authorId="0" shapeId="0" xr:uid="{3E5710F8-87FD-4D0D-99F9-8ED1224DEFFB}">
      <text>
        <r>
          <rPr>
            <b/>
            <sz val="9"/>
            <color indexed="81"/>
            <rFont val="Tahoma"/>
            <family val="2"/>
          </rPr>
          <t xml:space="preserve">بالنسبة للمخاطر غير المقبولة يجب وجود خطة معالجة تحدد الإجراء والتكلفة والمسؤول والموعد المستهدف وحالة الإنجاز.</t>
        </r>
      </text>
    </comment>
    <comment ref="X12" authorId="0" shapeId="0" xr:uid="{BA793072-F17E-4063-BE48-B22B5BD9B333}">
      <text>
        <r>
          <rPr>
            <b/>
            <sz val="9"/>
            <color indexed="81"/>
            <rFont val="Tahoma"/>
            <family val="2"/>
          </rPr>
          <t xml:space="preserve">يُستخدم هذا القسم لتقييم مستوى الخطر المتبقي بعد تنفيذ إجراءات المعالجة.</t>
        </r>
      </text>
    </comment>
    <comment ref="B13" authorId="0" shapeId="0" xr:uid="{9E369695-AD9B-46AF-A418-0ECCB87275DF}">
      <text>
        <r>
          <rPr>
            <b/>
            <sz val="9"/>
            <color indexed="81"/>
            <rFont val="Tahoma"/>
            <family val="2"/>
          </rPr>
          <t xml:space="preserve">أدخل رقماً مرجعياً فريداً للخطر بصيغة R-001 إلى R-032، ويُستخدم للربط بسجل الأصول وبيان قابلية التطبيق وتقارير الأداء.</t>
        </r>
      </text>
    </comment>
    <comment ref="C13" authorId="0" shapeId="0" xr:uid="{39F24915-85DE-4418-94CC-3E668FF31DDA}">
      <text>
        <r>
          <rPr>
            <b/>
            <sz val="9"/>
            <color indexed="81"/>
            <rFont val="Tahoma"/>
            <family val="2"/>
          </rPr>
          <t xml:space="preserve">المجموعة المنطقية للأصول محل التقييم (مثال: بيانات العملاء، الأنظمة المصرفية الأساسية، البنية التحتية والشبكات).</t>
        </r>
      </text>
    </comment>
    <comment ref="D13" authorId="0" shapeId="0" xr:uid="{A190CD4F-8CD1-479F-94B7-720951B05F5C}">
      <text>
        <r>
          <rPr>
            <b/>
            <sz val="9"/>
            <color indexed="81"/>
            <rFont val="Tahoma"/>
            <family val="2"/>
          </rPr>
          <t xml:space="preserve">الأصل المحدد (أو المجموعة الفرعية) الذي يُقيَّم الخطر عليه، ومرجعه في سجل الأصول (A-001 إلى A-048).</t>
        </r>
      </text>
    </comment>
    <comment ref="E13" authorId="1" shapeId="0" xr:uid="{C89AE5AA-5FC1-49D9-9243-D417C54600D9}">
      <text>
        <r>
          <rPr>
            <b/>
            <sz val="9"/>
            <color indexed="81"/>
            <rFont val="Tahoma"/>
            <family val="2"/>
          </rPr>
          <t xml:space="preserve">ما الذي قد يحدث إذا استُغلت نقاط ضعف الأصل من قِبل جهة محددة (هجوم فدية، تصيد احتيالي، خطأ بشري، فشل مورد).</t>
        </r>
      </text>
    </comment>
    <comment ref="F13" authorId="1" shapeId="0" xr:uid="{13530428-4506-4D5A-9A52-D582DE151050}">
      <text>
        <r>
          <rPr>
            <b/>
            <sz val="9"/>
            <color indexed="81"/>
            <rFont val="Tahoma"/>
            <family val="2"/>
          </rPr>
          <t xml:space="preserve">نقطة ضعف يمكن لتهديد استغلالها لتعريض الأصل للاختراق أو الفقد أو التعطيل.</t>
        </r>
      </text>
    </comment>
    <comment ref="G13" authorId="0" shapeId="0" xr:uid="{C73680CE-3FA5-4802-9004-E80587DA6FD8}">
      <text>
        <r>
          <rPr>
            <b/>
            <sz val="9"/>
            <color indexed="81"/>
            <rFont val="Tahoma"/>
            <family val="2"/>
          </rPr>
          <t xml:space="preserve">هل الخطر على: السرية (C) أم السلامة (I) أم التوافر (A) أم على مجموعة منها؟</t>
        </r>
      </text>
    </comment>
    <comment ref="H13" authorId="0" shapeId="0" xr:uid="{1FC8833C-8717-4BC7-ACE7-77D991266F9D}">
      <text>
        <r>
          <rPr>
            <b/>
            <sz val="9"/>
            <color indexed="81"/>
            <rFont val="Tahoma"/>
            <family val="2"/>
          </rPr>
          <t xml:space="preserve">اسم الدور المسؤول عن الخطر والمخوّل بقبوله أو رفعه إلى لجنة أمن المعلومات وفق مصفوفة RACI.</t>
        </r>
      </text>
    </comment>
    <comment ref="I13" authorId="0" shapeId="0" xr:uid="{DF1DAA71-BCDE-46D0-AB12-9F4D22407BA9}">
      <text>
        <r>
          <rPr>
            <b/>
            <sz val="9"/>
            <color indexed="81"/>
            <rFont val="Tahoma"/>
            <family val="2"/>
          </rPr>
          <t xml:space="preserve">الضوابط المطبقة حالياً التي قد تُقلل احتمالية الخطر أو أثره، مع بيان فعاليتها ونواقصها.</t>
        </r>
      </text>
    </comment>
    <comment ref="J13" authorId="0" shapeId="0" xr:uid="{9BEA2735-F655-460A-9033-2698E7DCF981}">
      <text>
        <r>
          <rPr>
            <b/>
            <sz val="9"/>
            <color indexed="81"/>
            <rFont val="Tahoma"/>
            <family val="2"/>
          </rPr>
          <t xml:space="preserve">اختر درجة من 1 إلى 5 حيث 1 = احتمال منخفض جداً و5 = احتمال مرتفع جداً، وفق منهجية تقييم المخاطر ومعالجتها (RT1) المعتمدة في 2026-02-01.</t>
        </r>
      </text>
    </comment>
    <comment ref="K13" authorId="0" shapeId="0" xr:uid="{0B93335F-4954-4831-B874-29834EA6E8FF}">
      <text>
        <r>
          <rPr>
            <b/>
            <sz val="9"/>
            <color indexed="81"/>
            <rFont val="Tahoma"/>
            <family val="2"/>
          </rPr>
          <t xml:space="preserve">مبرر درجة الاحتمالية المختارة مع الإشارة إلى الحوادث السابقة أو بيانات القطاع عند الإمكان.</t>
        </r>
      </text>
    </comment>
    <comment ref="L13" authorId="0" shapeId="0" xr:uid="{4E98DAA8-7283-4D3C-846C-4D6B5439C4E3}">
      <text>
        <r>
          <rPr>
            <b/>
            <sz val="9"/>
            <color indexed="81"/>
            <rFont val="Tahoma"/>
            <family val="2"/>
          </rPr>
          <t xml:space="preserve">اختر درجة من 1 إلى 5 حيث 1 = أثر منخفض و5 = أثر بالغ.</t>
        </r>
      </text>
    </comment>
    <comment ref="M13" authorId="0" shapeId="0" xr:uid="{4F2D345D-C781-4990-B129-D2E1F7CD2FC3}">
      <text>
        <r>
          <rPr>
            <b/>
            <sz val="9"/>
            <color indexed="81"/>
            <rFont val="Tahoma"/>
            <family val="2"/>
          </rPr>
          <t xml:space="preserve">شرح موجز لسبب منح درجة الأثر (الأثر المالي، التشغيلي، النظامي، وأثر السمعة).</t>
        </r>
      </text>
    </comment>
    <comment ref="N13" authorId="0" shapeId="0" xr:uid="{C05F6FB1-B76B-49B8-B880-E5863966EB18}">
      <text>
        <r>
          <rPr>
            <b/>
            <sz val="9"/>
            <color indexed="81"/>
            <rFont val="Tahoma"/>
            <family val="2"/>
          </rPr>
          <t xml:space="preserve">درجة الخطر من 1 إلى 25 وتُحسب تلقائياً = الاحتمالية × التأثير.</t>
        </r>
      </text>
    </comment>
    <comment ref="O13" authorId="0" shapeId="0" xr:uid="{10219E66-1FCB-47C0-A0A9-0D5060484272}">
      <text>
        <r>
          <rPr>
            <b/>
            <sz val="9"/>
            <color indexed="81"/>
            <rFont val="Tahoma"/>
            <family val="2"/>
          </rPr>
          <t xml:space="preserve">مستوى الخطر يُحسب تلقائياً وفق السلم المعتمد: 1-4 منخفض، 5-10 متوسط، 11-15 مرتفع، 16-25 حرج.</t>
        </r>
      </text>
    </comment>
    <comment ref="P13" authorId="0" shapeId="0" xr:uid="{D084F3CC-6F7C-42FB-A3D2-3702642D9C17}">
      <text>
        <r>
          <rPr>
            <b/>
            <sz val="9"/>
            <color indexed="81"/>
            <rFont val="Tahoma"/>
            <family val="2"/>
          </rPr>
          <t xml:space="preserve">اختر خيار معالجة الخطر من القائمة المنسدلة: التخفيف، التجنب، النقل، القبول.</t>
        </r>
      </text>
    </comment>
    <comment ref="Q13" authorId="0" shapeId="0" xr:uid="{5A88E6CE-921F-404E-96B5-4B7163DE9542}">
      <text>
        <r>
          <rPr>
            <b/>
            <sz val="9"/>
            <color indexed="81"/>
            <rFont val="Tahoma"/>
            <family val="2"/>
          </rPr>
          <t xml:space="preserve">سجّل الضوابط المقترحة لمعالجة الخطر؛ يمكن الاسترشاد بضوابط الملحق A المرجعية (ورقة Reference Controls) أو بمصادر أخرى معتمدة.</t>
        </r>
      </text>
    </comment>
    <comment ref="R13" authorId="0" shapeId="0" xr:uid="{6D56ED50-1899-4DD9-ABDE-0A574686B79A}">
      <text>
        <r>
          <rPr>
            <b/>
            <sz val="9"/>
            <color indexed="81"/>
            <rFont val="Tahoma"/>
            <family val="2"/>
          </rPr>
          <t xml:space="preserve">المرجع المحدد للضابط أو الضوابط المستخدمة في المعالجة (مثال: A.8.13، A.8.16) بما يضمن التتبع إلى بيان قابلية التطبيق.</t>
        </r>
      </text>
    </comment>
    <comment ref="S13" authorId="0" shapeId="0" xr:uid="{E724B07D-4C72-4664-92A6-ACD34EE63AF5}">
      <text>
        <r>
          <rPr>
            <b/>
            <sz val="9"/>
            <color indexed="81"/>
            <rFont val="Tahoma"/>
            <family val="2"/>
          </rPr>
          <t xml:space="preserve">كم ستكلف الضوابط المقترحة؟ تُسجَّل بالريال السعودي وتُجمع في لوحة المعلومات لمقارنتها بالميزانية المعتمدة (18 مليون ريال).</t>
        </r>
      </text>
    </comment>
    <comment ref="T13" authorId="0" shapeId="0" xr:uid="{773DF90E-52E9-4873-9C09-673F74B50E14}">
      <text>
        <r>
          <rPr>
            <b/>
            <sz val="9"/>
            <color indexed="81"/>
            <rFont val="Tahoma"/>
            <family val="2"/>
          </rPr>
          <t xml:space="preserve">الشخص أو الدور المكلف بتنفيذ إجراء المعالجة.</t>
        </r>
      </text>
    </comment>
    <comment ref="U13" authorId="0" shapeId="0" xr:uid="{0CEF16B6-0228-4DC0-88ED-B13C171B6965}">
      <text>
        <r>
          <rPr>
            <b/>
            <sz val="9"/>
            <color indexed="81"/>
            <rFont val="Tahoma"/>
            <family val="2"/>
          </rPr>
          <t xml:space="preserve">التاريخ أو المدة الزمنية التي يجب إنجاز إجراء المعالجة خلالها.</t>
        </r>
      </text>
    </comment>
    <comment ref="V13" authorId="0" shapeId="0" xr:uid="{816B701D-622A-4FD3-891A-C02716955D48}">
      <text>
        <r>
          <rPr>
            <b/>
            <sz val="9"/>
            <color indexed="81"/>
            <rFont val="Tahoma"/>
            <family val="2"/>
          </rPr>
          <t xml:space="preserve">نسبة إنجاز إجراء المعالجة (0% إلى 100%) مع سرد مؤرخ للتقدم والمعوقات إن وُجدت.</t>
        </r>
      </text>
    </comment>
    <comment ref="W13" authorId="0" shapeId="0" xr:uid="{7CFDF163-A4B2-4165-85A2-73514EF7106A}">
      <text>
        <r>
          <rPr>
            <b/>
            <sz val="9"/>
            <color indexed="81"/>
            <rFont val="Tahoma"/>
            <family val="2"/>
          </rPr>
          <t xml:space="preserve">حالة إجراء المعالجة: لم يبدأ / قيد التنفيذ / مكتمل / متأخر.</t>
        </r>
      </text>
    </comment>
    <comment ref="X13" authorId="0" shapeId="0" xr:uid="{D8633ADB-E07D-403D-8307-F908A9D8112F}">
      <text>
        <r>
          <rPr>
            <b/>
            <sz val="9"/>
            <color indexed="81"/>
            <rFont val="Tahoma"/>
            <family val="2"/>
          </rPr>
          <t xml:space="preserve">اختر درجة من 1 إلى 5 للاحتمالية المتبقية بعد تنفيذ المعالجة.</t>
        </r>
      </text>
    </comment>
    <comment ref="Y13" authorId="0" shapeId="0" xr:uid="{F9B3A9F9-48FF-414E-8D59-005FFF21C413}">
      <text>
        <r>
          <rPr>
            <b/>
            <sz val="9"/>
            <color indexed="81"/>
            <rFont val="Tahoma"/>
            <family val="2"/>
          </rPr>
          <t xml:space="preserve">مبرر درجة الاحتمالية المتبقية وبيان فعالية الضوابط الجديدة.</t>
        </r>
      </text>
    </comment>
    <comment ref="Z13" authorId="0" shapeId="0" xr:uid="{76B048B7-BCE9-4D6A-9BD3-273FCF368D64}">
      <text>
        <r>
          <rPr>
            <b/>
            <sz val="9"/>
            <color indexed="81"/>
            <rFont val="Tahoma"/>
            <family val="2"/>
          </rPr>
          <t xml:space="preserve">اختر درجة من 1 إلى 5 للأثر المتبقي بعد المعالجة.</t>
        </r>
      </text>
    </comment>
    <comment ref="AA13" authorId="0" shapeId="0" xr:uid="{100C04F8-2E28-4692-84E9-7253EF18BA84}">
      <text>
        <r>
          <rPr>
            <b/>
            <sz val="9"/>
            <color indexed="81"/>
            <rFont val="Tahoma"/>
            <family val="2"/>
          </rPr>
          <t xml:space="preserve">مبرر درجة الأثر المتبقي (ما الذي يبقى من الأثر رغم المعالجة).</t>
        </r>
      </text>
    </comment>
    <comment ref="AB13" authorId="0" shapeId="0" xr:uid="{BC085B28-33FC-47A3-9DBD-6BFAE46ACB63}">
      <text>
        <r>
          <rPr>
            <b/>
            <sz val="9"/>
            <color indexed="81"/>
            <rFont val="Tahoma"/>
            <family val="2"/>
          </rPr>
          <t xml:space="preserve">درجة الخطر المتبقي من 1 إلى 25 وتُحسب تلقائياً = الاحتمالية بعد المعالجة × التأثير بعد المعالجة.</t>
        </r>
      </text>
    </comment>
    <comment ref="AC13" authorId="0" shapeId="0" xr:uid="{84933151-F8BE-4D10-B7CD-910223C87AAA}">
      <text>
        <r>
          <rPr>
            <b/>
            <sz val="9"/>
            <color indexed="81"/>
            <rFont val="Tahoma"/>
            <family val="2"/>
          </rPr>
          <t xml:space="preserve">مستوى الخطر المتبقي يُحسب تلقائياً وفق السلم المعتمد: 1-4 منخفض، 5-10 متوسط، 11-15 مرتفع، 16-25 حرج.</t>
        </r>
      </text>
    </comment>
    <comment ref="AD13" authorId="0" shapeId="0" xr:uid="{2A6B4ACF-D29C-4FC7-82E6-2C5FBAAA3EA7}">
      <text>
        <r>
          <rPr>
            <b/>
            <sz val="9"/>
            <color indexed="81"/>
            <rFont val="Tahoma"/>
            <family val="2"/>
          </rPr>
          <t xml:space="preserve">أدخل أي ملاحظات أخرى: الارتباط بالحوادث (INC-xxxx) أو بحالات عدم المطابقة (NC-xx) أو بقرارات قبول الخطر المعتمدة من لجنة أمن المعلومات.</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<sst xmlns="http://schemas.openxmlformats.org/spreadsheetml/2006/main" count="19" uniqueCount="717">
  <si>
    <t>Select…</t>
  </si>
  <si>
    <t>Assessment Details</t>
  </si>
  <si>
    <t>Ref</t>
  </si>
  <si>
    <t>Risk Owner</t>
  </si>
  <si>
    <t>Likelihood</t>
  </si>
  <si>
    <t>Impact</t>
  </si>
  <si>
    <t>Risk level</t>
  </si>
  <si>
    <t>Comments</t>
  </si>
  <si>
    <t xml:space="preserve"> RISK DESCRIPTION</t>
  </si>
  <si>
    <t>ONE TO FIVE</t>
  </si>
  <si>
    <t>Accept</t>
  </si>
  <si>
    <t>Avoid</t>
  </si>
  <si>
    <t>Modify</t>
  </si>
  <si>
    <t>Share</t>
  </si>
  <si>
    <t>OPTIONS</t>
  </si>
  <si>
    <t>LIKELIHOOD</t>
  </si>
  <si>
    <t>DESCRIPTION</t>
  </si>
  <si>
    <t>SUMMARY</t>
  </si>
  <si>
    <t>Improbable</t>
  </si>
  <si>
    <t>Unlikely</t>
  </si>
  <si>
    <t>Likely</t>
  </si>
  <si>
    <t>Very Likely</t>
  </si>
  <si>
    <t>Almost certain</t>
  </si>
  <si>
    <t>Has never happened before and there is no reason to think it is any more likely now</t>
  </si>
  <si>
    <t>There is a possibility that it could happen, but it probably won't</t>
  </si>
  <si>
    <t>It would be a surprise if the risk did not occur either based on past frequency or current circumstances</t>
  </si>
  <si>
    <t>Either already happens regularly or there is some reason to believe it is virtually imminent</t>
  </si>
  <si>
    <t xml:space="preserve">On balance, the risk is more likely to happen than not
</t>
  </si>
  <si>
    <t>This table should be used as guidance to help to decide upon the correct impact rating for a particular threat.</t>
  </si>
  <si>
    <t>This table should be used to decide upon the most appropriate likelihood for a particular threat.</t>
  </si>
  <si>
    <t>Negligible</t>
  </si>
  <si>
    <t>No effect</t>
  </si>
  <si>
    <t>Very little or none</t>
  </si>
  <si>
    <t>Very small additional risk</t>
  </si>
  <si>
    <t>No implications</t>
  </si>
  <si>
    <t>Slight</t>
  </si>
  <si>
    <t>Some local disturbance to normal business operations</t>
  </si>
  <si>
    <t>Some</t>
  </si>
  <si>
    <t>Within acceptable limits</t>
  </si>
  <si>
    <t>Small risk of not meeting compliance</t>
  </si>
  <si>
    <t>Moderate</t>
  </si>
  <si>
    <t>Can still deliver product/service with some difficulty</t>
  </si>
  <si>
    <t>Unwelcome but could be borne</t>
  </si>
  <si>
    <t>Elevated risk requiring immediate attention</t>
  </si>
  <si>
    <t>In definite danger of operating illegally</t>
  </si>
  <si>
    <t>High</t>
  </si>
  <si>
    <t>Business is crippled in key areas</t>
  </si>
  <si>
    <t>Severe effect on income and/or profit</t>
  </si>
  <si>
    <t>Significant danger to life</t>
  </si>
  <si>
    <t>Operating illegally in some areas</t>
  </si>
  <si>
    <t>Very High</t>
  </si>
  <si>
    <t>Out of business; no service to customers</t>
  </si>
  <si>
    <t>Crippling; the organisation will go out of business</t>
  </si>
  <si>
    <t>Real or strong potential loss of life</t>
  </si>
  <si>
    <t>Severe fines and possible imprisonment of staff</t>
  </si>
  <si>
    <t>Impact rating</t>
  </si>
  <si>
    <t>General description</t>
  </si>
  <si>
    <t xml:space="preserve"> IMPACT AREAS</t>
  </si>
  <si>
    <t xml:space="preserve"> IMPACT LEVEL</t>
  </si>
  <si>
    <t>Damage to reputation</t>
  </si>
  <si>
    <t>The chart below shows the rating scheme used to determine risk level based on a combination of likelihood and impact.</t>
  </si>
  <si>
    <t xml:space="preserve"> Low</t>
  </si>
  <si>
    <t xml:space="preserve"> Medium</t>
  </si>
  <si>
    <t xml:space="preserve"> High</t>
  </si>
  <si>
    <t xml:space="preserve">Risk Assessment Scope
</t>
  </si>
  <si>
    <t xml:space="preserve">Version
</t>
  </si>
  <si>
    <t xml:space="preserve">Dated
</t>
  </si>
  <si>
    <t xml:space="preserve">Risk Assessors
</t>
  </si>
  <si>
    <t xml:space="preserve">Approval
</t>
  </si>
  <si>
    <t xml:space="preserve">Date Approved
</t>
  </si>
  <si>
    <t>Risk Assessment Participants</t>
  </si>
  <si>
    <t xml:space="preserve">Security Classification
</t>
  </si>
  <si>
    <t>Context of Risk Assessment</t>
  </si>
  <si>
    <t>Risk Type</t>
  </si>
  <si>
    <t>Annex A/Control Reference</t>
  </si>
  <si>
    <t>RISK TYPE</t>
  </si>
  <si>
    <t>You may use this table to help to identify relevant risks for your organization and to define where the controls from Annex A of ISO/IEC 27001 are applicable.</t>
  </si>
  <si>
    <t>ANNEX A CONTROL</t>
  </si>
  <si>
    <t>It is not clear what the organization's rules are for managing information security. Employees and others aren't aware of what they should be doing to protect the organization</t>
  </si>
  <si>
    <t>It is not clear who should be doing what with respect to information security</t>
  </si>
  <si>
    <t>The organization is unaware of their legal or regulatory responsibilities and may break the law without realising it</t>
  </si>
  <si>
    <t>The organization lacks up to date knowledge of information security issues such as current threats, new controls and other relevant information</t>
  </si>
  <si>
    <t>Information gathered and created during projects is not adequately protected</t>
  </si>
  <si>
    <t>A teleworking site does not meet the information security standards ensured at main locations and data is exposed to loss or theft</t>
  </si>
  <si>
    <t>It is not clear to employees what their responsibilities for information security are</t>
  </si>
  <si>
    <t>It is not clear what assets we are trying to protect and where they are located</t>
  </si>
  <si>
    <t>No-one takes responsibility for protecting specific assets</t>
  </si>
  <si>
    <t>Information and assets are used in ways that are not acceptable to the organization e.g. devices are physically abused and information left exposed</t>
  </si>
  <si>
    <t>Assets are not returned when someone leaves the organization</t>
  </si>
  <si>
    <t>Assets that are stored with a cloud service provider are not returned</t>
  </si>
  <si>
    <t>It is not clear how specific items of information should be protected</t>
  </si>
  <si>
    <t>Employees are unable to tell how information should be protected</t>
  </si>
  <si>
    <t>Assets are handled inappropriately due to a lack of definition of how they should be addressed</t>
  </si>
  <si>
    <t>Removable media is used without effective protection of the data held on it</t>
  </si>
  <si>
    <t>Employees or third parties have access to information without authorisation or by mistake</t>
  </si>
  <si>
    <t>User accounts are created without authority or not removed when no longer needed</t>
  </si>
  <si>
    <t>Users are given an inappropriate level of access within systems</t>
  </si>
  <si>
    <t>Inappropriate levels of access remain in place long term and attempts to increase permissions are not spotted</t>
  </si>
  <si>
    <t>Ex-users still have access even when they have left the organization</t>
  </si>
  <si>
    <t>Users share user accounts and let others know their passwords</t>
  </si>
  <si>
    <t>Too much access is allowed to a user where their role does not require it</t>
  </si>
  <si>
    <t>Logon to secure systems is possible by unauthorised users</t>
  </si>
  <si>
    <t>Users do not set appropriately-strong passwords</t>
  </si>
  <si>
    <t>The use of encryption within the organization is haphazard and uncoordinated, resulting in a lack of effectiveness and possible illegal use</t>
  </si>
  <si>
    <t>It is not clear where physical security has been, or needs to be, applied</t>
  </si>
  <si>
    <t>Unauthorised people are able to gain physical access to sensitive information</t>
  </si>
  <si>
    <t>People in secure areas leave the area open to attack or unauthorised access</t>
  </si>
  <si>
    <t>Screens showing sensitive information can be seen by unauthorised people</t>
  </si>
  <si>
    <t>Essential facilities are disabled due to a power outage</t>
  </si>
  <si>
    <t>Equipment, information or software is removed from a location without the knowledge or permission of the organization</t>
  </si>
  <si>
    <t>Assets containing sensitive information are left unprotected whilst offsite</t>
  </si>
  <si>
    <t>Sensitive information can be read from storage media that has been disposed of or reused</t>
  </si>
  <si>
    <t>Support staff, e.g. cleaners and security personnel, are able to read sensitive information left unattended on desks</t>
  </si>
  <si>
    <t>Systems run slowly or not at all because the resources required are not available</t>
  </si>
  <si>
    <t>An administrator of a cloud service makes a serious and unrecoverable error that affects service availability or security</t>
  </si>
  <si>
    <t>Suspicious events are not detected due to inadequate logs being kept</t>
  </si>
  <si>
    <t>Incriminating logs are wiped or altered by an attacker</t>
  </si>
  <si>
    <t>The time sequence of an attack cannot be identified because each of the clocks involved tell a different time</t>
  </si>
  <si>
    <t>The organization can't tell if a cloud service has been compromised because no logs are kept</t>
  </si>
  <si>
    <t>Software is installed on an operational system which causes an unwanted effect e.g. compatibility issues or the introduction of vulnerabilities</t>
  </si>
  <si>
    <t>A user installs some software that introduces vulnerabilities to the organization and its network</t>
  </si>
  <si>
    <t>The required security mechanisms, service levels and management requirements for network services are not agreed with the supplier and so are not provided</t>
  </si>
  <si>
    <t>Information in transit is intercepted and compromised</t>
  </si>
  <si>
    <t>Confidential information is shared with others by a third party because it was not agreed that this is not allowed</t>
  </si>
  <si>
    <t>Information involved in application services is intercepted and modified in order to commit fraud</t>
  </si>
  <si>
    <t>Software is written that has an unacceptable level of vulnerabilities</t>
  </si>
  <si>
    <t>Changes are uncontrolled whilst in development leading to poor quality software and badly-defined releases</t>
  </si>
  <si>
    <t>Business critical applications are adversely affected when the underlying operating platform is changed</t>
  </si>
  <si>
    <t>Significant modifications to software packages introduce security vulnerabilities, functionality issues and support problems</t>
  </si>
  <si>
    <t>Security functionality doesn't work correctly in live software</t>
  </si>
  <si>
    <t>Newly-implemented systems don't work as intended</t>
  </si>
  <si>
    <t>Test data doesn't identify issues with the software being tested and is itself of value to an attacker (e.g. if copied from live data)</t>
  </si>
  <si>
    <t>An attacker gains access to the organization's network using logon credentials obtained from a supplier who has legitimate access</t>
  </si>
  <si>
    <t>A supplier, who provides services to and has access to the organization's information, has inadequate security controls in place and suffers a breach involving the organization's data</t>
  </si>
  <si>
    <t>A supplier uses contractors who do not have adequate security controls in place</t>
  </si>
  <si>
    <t>A supplier is not delivering the level of service that they should</t>
  </si>
  <si>
    <t>It is not clear who should do what when an information security incident occurs</t>
  </si>
  <si>
    <t>Management is not aware that an information security event has been detected</t>
  </si>
  <si>
    <t>Weaknesses in information security do not get addressed because they are not reported</t>
  </si>
  <si>
    <t>No decisions are taken about whether events should be escalated to incidents</t>
  </si>
  <si>
    <t>The response to information security incidents is inadequate and procedures are not used</t>
  </si>
  <si>
    <t>Nothing is learned from incidents and no improvements are made</t>
  </si>
  <si>
    <t>No usable or admissible evidence is collected as a result of a lack of awareness of how this must be done. Because of this, nobody can be prosecuted</t>
  </si>
  <si>
    <t>It is not known what level of information security must be provided during a disruptive event</t>
  </si>
  <si>
    <t>Information security controls become ineffective when a disruptive event happens</t>
  </si>
  <si>
    <t>The intended information security controls don't work during a disruptive event because they have never been tested</t>
  </si>
  <si>
    <t>Information processing facilities fail due to a lack of sufficient redundancy</t>
  </si>
  <si>
    <t>It is not known what legislative, regulatory and contractual requirements each information system must meet and, as a result, such requirements are not met</t>
  </si>
  <si>
    <t>The organization is subject to legal action as a result of breaching intellectual property rights and licensing requirements</t>
  </si>
  <si>
    <t>Records that are required to be kept are lost, falsified or accessed, resulting in legal or contractual issues</t>
  </si>
  <si>
    <t>Laws requiring the protection of personally identifiable information are breached, resulting in prosecution and fines</t>
  </si>
  <si>
    <t>Cryptography is used inappropriately, resulting in prosecution</t>
  </si>
  <si>
    <t>The implementation of information security is never independently checked and many controls do not work as intended</t>
  </si>
  <si>
    <t>Management does not check that policies and procedures are being followed and people stop using them over time</t>
  </si>
  <si>
    <t>As systems evolve, security controls become less effective and more vulnerable to attack</t>
  </si>
  <si>
    <t>Management do not enforce and emphasise the need to comply with information security policies</t>
  </si>
  <si>
    <t>Operating procedures are not clear to all employees who need to perform them and vary according to who does them</t>
  </si>
  <si>
    <t>Software changes made in development are put live without adequate testing or supervision</t>
  </si>
  <si>
    <t>The activities of administrators and operators cannot be verified</t>
  </si>
  <si>
    <t>Network devices and their configuration are unmanaged and uncoordinated, so introducing vulnerabilities for the organization</t>
  </si>
  <si>
    <t>An attacker, having gained access to the network, is able to see and access all systems and devices</t>
  </si>
  <si>
    <t>Virtual networks are configured differently to physical ones and as a consequence don't provide the same required level of security</t>
  </si>
  <si>
    <t>Transfer of information between the organization and external parties is not subject to adequate protection</t>
  </si>
  <si>
    <t>Information security is not considered adequately when new or enhanced systems are designed</t>
  </si>
  <si>
    <t>A.11.1.2 Physical entry controls</t>
  </si>
  <si>
    <t>Effect on customers</t>
  </si>
  <si>
    <t>Financial cost</t>
  </si>
  <si>
    <t>Health and Safety</t>
  </si>
  <si>
    <t>Legal, Contractual and Organizational Compliance</t>
  </si>
  <si>
    <t>The following list of reference controls is used within the risk assessment worksheets.</t>
  </si>
  <si>
    <t xml:space="preserve"> REF</t>
  </si>
  <si>
    <t>Existing Controls</t>
  </si>
  <si>
    <t>Likelihood Rationale</t>
  </si>
  <si>
    <t>Impact Rationale</t>
  </si>
  <si>
    <t>Risk Score</t>
  </si>
  <si>
    <t>Risk Level</t>
  </si>
  <si>
    <t>Treatment Option Chosen</t>
  </si>
  <si>
    <t>Post-Treatment Likelihood</t>
  </si>
  <si>
    <t>Post-Treatment Likelihood Rationale</t>
  </si>
  <si>
    <t>Post-Treatment Impact Rationale</t>
  </si>
  <si>
    <t>Post-Treatment Risk Score</t>
  </si>
  <si>
    <t>Post-Treatment Risk Level</t>
  </si>
  <si>
    <t>Pre-Treatment</t>
  </si>
  <si>
    <t>Risk Likelihood</t>
  </si>
  <si>
    <t>C</t>
  </si>
  <si>
    <t>A</t>
  </si>
  <si>
    <t>I</t>
  </si>
  <si>
    <t>CI</t>
  </si>
  <si>
    <t>CA</t>
  </si>
  <si>
    <t>IA</t>
  </si>
  <si>
    <t>CIA</t>
  </si>
  <si>
    <t>Post-Treatment</t>
  </si>
  <si>
    <t>Risks: Pre and Post Treatment</t>
  </si>
  <si>
    <t>Column Labels</t>
  </si>
  <si>
    <t>Grand Total</t>
  </si>
  <si>
    <t>Row Labels</t>
  </si>
  <si>
    <t>Count of Risk Level</t>
  </si>
  <si>
    <t>Risk Type Table</t>
  </si>
  <si>
    <t>Risk Owner Table</t>
  </si>
  <si>
    <t>Pivot Tables</t>
  </si>
  <si>
    <t>Treatment Option Table</t>
  </si>
  <si>
    <t>Selection Tables</t>
  </si>
  <si>
    <t>Treatment Cost</t>
  </si>
  <si>
    <t>Treatment Cost Table</t>
  </si>
  <si>
    <t>Sum of Treatment Cost</t>
  </si>
  <si>
    <t>Treatment Action Owner</t>
  </si>
  <si>
    <t>Treatment Action Timescale</t>
  </si>
  <si>
    <t>Treatment Action Status</t>
  </si>
  <si>
    <t>Treatment Action Progress</t>
  </si>
  <si>
    <t xml:space="preserve"> TREATMENT PLAN</t>
  </si>
  <si>
    <t>Post- Treatment Impact</t>
  </si>
  <si>
    <t xml:space="preserve"> PRE-TREATMENT ASSESSMENT</t>
  </si>
  <si>
    <t xml:space="preserve"> POST-TREATMENT ASSESSMENT</t>
  </si>
  <si>
    <t>Proposed Treatment Action</t>
  </si>
  <si>
    <t>Completed</t>
  </si>
  <si>
    <t>Not Started</t>
  </si>
  <si>
    <t>In Progress</t>
  </si>
  <si>
    <t>Rejected</t>
  </si>
  <si>
    <t>TREATMENT ACTION STATUS</t>
  </si>
  <si>
    <t>Pre-treatment assessment</t>
  </si>
  <si>
    <t>Post-treatment assessment</t>
  </si>
  <si>
    <t>Risk profile diagram</t>
  </si>
  <si>
    <t>The charts below show the spread of risk severities before and after risk treatment.</t>
  </si>
  <si>
    <t>Pre-treatment</t>
  </si>
  <si>
    <t>Post-treatment</t>
  </si>
  <si>
    <t>INSIGNIFICANT
1</t>
  </si>
  <si>
    <t>MINOR
2</t>
  </si>
  <si>
    <t>SIGNIFICANT
3</t>
  </si>
  <si>
    <t>MAJOR
4</t>
  </si>
  <si>
    <t>SEVERE
5</t>
  </si>
  <si>
    <t>ALMOST
CERTAIN
5</t>
  </si>
  <si>
    <t>MEDIUM
5</t>
  </si>
  <si>
    <t>MEDIUM
10</t>
  </si>
  <si>
    <t>HIGH
15</t>
  </si>
  <si>
    <t>HIGH
20</t>
  </si>
  <si>
    <t>HIGH
25</t>
  </si>
  <si>
    <t>LIKELY
4</t>
  </si>
  <si>
    <t>LOW
4</t>
  </si>
  <si>
    <t>MEDIUM
8</t>
  </si>
  <si>
    <t>HIGH
12</t>
  </si>
  <si>
    <t>HIGH
16</t>
  </si>
  <si>
    <t>MODERATE
3</t>
  </si>
  <si>
    <t>LOW
3</t>
  </si>
  <si>
    <t>MEDIUM
6</t>
  </si>
  <si>
    <t>MEDIUM
9</t>
  </si>
  <si>
    <t>UNLIKELY
2</t>
  </si>
  <si>
    <t>LOW
2</t>
  </si>
  <si>
    <t>RARE
1</t>
  </si>
  <si>
    <t>LOW
1</t>
  </si>
  <si>
    <t>Risk impact</t>
  </si>
  <si>
    <t>Treatment plan</t>
  </si>
  <si>
    <t>To refresh chart data on the risk dashboard, click on “Refresh All” on the Data ribbon.</t>
  </si>
  <si>
    <t>IMPACT: How major could the consequences be if the risk event happened?</t>
  </si>
  <si>
    <t>LIKELIHOOD: What are the chances of the risk event happening?</t>
  </si>
  <si>
    <t>Classification of risk level</t>
  </si>
  <si>
    <t>Malicious insider</t>
  </si>
  <si>
    <t>A key physical server has a processor failure</t>
  </si>
  <si>
    <t>One or more people with key skills or knowledge are unavailable perhaps due to extended sickness</t>
  </si>
  <si>
    <t>Number of Pre-treatment risks by risk level</t>
  </si>
  <si>
    <t xml:space="preserve">Pre-treatment </t>
  </si>
  <si>
    <t>Pre-treatment risk levels by risk owner</t>
  </si>
  <si>
    <t>(blank)</t>
  </si>
  <si>
    <t xml:space="preserve">Risk Level </t>
  </si>
  <si>
    <t>Number of Post-mitigation risks by risk level</t>
  </si>
  <si>
    <t xml:space="preserve">Post-treatment </t>
  </si>
  <si>
    <t>Number of risks by risk level pre and post treatment</t>
  </si>
  <si>
    <t>Risks by treatment option chosen</t>
  </si>
  <si>
    <t>Total treatment cost by risk level</t>
  </si>
  <si>
    <t xml:space="preserve">Treatment action owner </t>
  </si>
  <si>
    <t>Count of Treatment Action Owner</t>
  </si>
  <si>
    <t xml:space="preserve">Risk Assessment Title
</t>
  </si>
  <si>
    <t>Risk Acceptance Criteria</t>
  </si>
  <si>
    <t>Asset-Based Risk Assessment and Treatment Tool</t>
  </si>
  <si>
    <t>Asset Group</t>
  </si>
  <si>
    <t>Asset</t>
  </si>
  <si>
    <t>Threat</t>
  </si>
  <si>
    <t>Vulnerability</t>
  </si>
  <si>
    <t>Asset | Threat | Vulnerability | Risk Type | Control Examples</t>
  </si>
  <si>
    <t>The following list shows a list of assets, with associated threats and vulnerabilities, risk type and the Annex A controls that might be used to treat them.</t>
  </si>
  <si>
    <t>EXAMPLE ASSET GROUP</t>
  </si>
  <si>
    <t>EXAMPLE THREAT(S)</t>
  </si>
  <si>
    <t>EXAMPLE VULNERABILITY</t>
  </si>
  <si>
    <t>RISK TYPE(S)</t>
  </si>
  <si>
    <t>Organization</t>
  </si>
  <si>
    <t>Policies either don't exist or don't cover the required areas</t>
  </si>
  <si>
    <t>Availability</t>
  </si>
  <si>
    <t>New threats have emerged that need to be addressed in policies</t>
  </si>
  <si>
    <t>Policies are out of date, do not reflect the organization's business or technical setup</t>
  </si>
  <si>
    <t>Confidentiality, Integrity and Availability</t>
  </si>
  <si>
    <t>Roles and responsibilities for information security have not been clearly defined</t>
  </si>
  <si>
    <t>Confidentiality</t>
  </si>
  <si>
    <t>Business activities</t>
  </si>
  <si>
    <t>An individual is able to perform all of the steps required to perform a sensitive business process. Checks are insufficient to prevent accidental amendment or destruction of data</t>
  </si>
  <si>
    <t>Processes have not been designed to limit the scope for deliberate or accidental actions</t>
  </si>
  <si>
    <t>No contact is in place with bodies who may impose requirements on our organisation</t>
  </si>
  <si>
    <t>Confidentiality and Availability</t>
  </si>
  <si>
    <t>No budget is currently available for attendance at conferences, seminars and training events</t>
  </si>
  <si>
    <t>Information</t>
  </si>
  <si>
    <t>Data held on mobile devices is prone to loss or theft of the device, or unauthorised access</t>
  </si>
  <si>
    <t>No guidance is given to employees about how to protect their mobile devices</t>
  </si>
  <si>
    <t>Physical/Site</t>
  </si>
  <si>
    <t>Teleworking arrangements are informal and no checking is done of the environment in place</t>
  </si>
  <si>
    <t>It is not clear who does what with respect to cloud security and one party (e.g. cloud service customer) is under the impression that the other (e.g. cloud service provider) is monitoring a particular aspect</t>
  </si>
  <si>
    <t>No split of responsibilities is agreed as part of the cloud take-on service</t>
  </si>
  <si>
    <t>People</t>
  </si>
  <si>
    <t>An employee is recruited who could deliberately breach information security</t>
  </si>
  <si>
    <t>Employee references are not thoroughly checked and no additional background checks are mandated</t>
  </si>
  <si>
    <t>Current employment contracts don't cover information security in sufficient detail</t>
  </si>
  <si>
    <t>Employees do not follow security policies as they are regarded as irrelevant</t>
  </si>
  <si>
    <t>Little information security awareness training is currently conducted, either as part of induction or ongoing employment</t>
  </si>
  <si>
    <t>The consequences of committing an information security breach are not sufficiently clear to employees</t>
  </si>
  <si>
    <t xml:space="preserve">Several recent high profile security breaches have not been followed up with disciplinary action </t>
  </si>
  <si>
    <t xml:space="preserve">Ex-employees could breach information security after leaving e.g. making confidential information public </t>
  </si>
  <si>
    <t>It is not made clear to leavers that they have continuing obligations for confidentiality after employment has ended</t>
  </si>
  <si>
    <t>Information is spread across many unmanaged data sets and their contents are uncertain</t>
  </si>
  <si>
    <t>There is a tendency to assume that someone else is protecting an asset</t>
  </si>
  <si>
    <t>Integrity and Availability</t>
  </si>
  <si>
    <t>Employees are not told what actions are regarded as acceptable or unacceptable</t>
  </si>
  <si>
    <t>Hardware</t>
  </si>
  <si>
    <t>The leaver procedure doesn't currently cover the return of all assets</t>
  </si>
  <si>
    <t>Integrity</t>
  </si>
  <si>
    <t>System decommissioning processes are outdated and don't cover cloud services</t>
  </si>
  <si>
    <t>The types of information that require specific protection have not been defined</t>
  </si>
  <si>
    <t>Definitions of sensitivity are varied across departments; information which one department regards as sensitive is not well protected in another</t>
  </si>
  <si>
    <t>Procedures do not define the controls required according to the classification of the asset</t>
  </si>
  <si>
    <t>Unencrypted memory sticks are routinely used as part of business processes, and for home working</t>
  </si>
  <si>
    <t>The information stored on media is vulnerable to compromise when it is disposed of</t>
  </si>
  <si>
    <t>Old computers are currently given to charity with just a factory reset</t>
  </si>
  <si>
    <t>Data held on media is not adequately protected whilst in transit e.g. by the use of encryption</t>
  </si>
  <si>
    <t>Unencrypted backup tapes are sometimes left unattended in a vehicle during the transfer process</t>
  </si>
  <si>
    <t>Access to some parts of the shared folder system is too loose for the types of information stored on it</t>
  </si>
  <si>
    <t>Network</t>
  </si>
  <si>
    <t>A user could gain unauthorised access to information via a network that they have no reason to legitimately use</t>
  </si>
  <si>
    <t>Confidentiality and Integrity</t>
  </si>
  <si>
    <t>The user account creation process lacks sufficient oversight from management</t>
  </si>
  <si>
    <t xml:space="preserve">Some user role definitions are too broad; more granular definitions are required </t>
  </si>
  <si>
    <t>Privileged access rights could be used by an unauthorised person to breach information security</t>
  </si>
  <si>
    <t xml:space="preserve">Some systems are not fully understood and so admin level access is often provided by default </t>
  </si>
  <si>
    <t>User passwords are known to someone other than the user to whom they relate</t>
  </si>
  <si>
    <t>The help desk procedure to issue password resets is not sufficiently secure</t>
  </si>
  <si>
    <t>People transferring between roles often retain the access they had in their previous role</t>
  </si>
  <si>
    <t>The process to disable leavers' user accounts takes too long</t>
  </si>
  <si>
    <t>Temporary employees are often told to use shared user accounts</t>
  </si>
  <si>
    <t>Some systems only allow for either an admin or user level access, with no granularity of access available</t>
  </si>
  <si>
    <t>Some potentially sensitive HR information is available via a hyperlink without logging on</t>
  </si>
  <si>
    <t>Many users choose to cycle round a few, known passwords</t>
  </si>
  <si>
    <t>A privileged utility program could be used to bypass security controls and gain unauthorised access to information</t>
  </si>
  <si>
    <t>Database editing tools are generally used in development, and may be accessible outside that team</t>
  </si>
  <si>
    <t>Program source code could be destroyed or tampered with to benefit an attacker</t>
  </si>
  <si>
    <t>Access to source code is not currently logged</t>
  </si>
  <si>
    <t>Software</t>
  </si>
  <si>
    <t>The encryption algorithms and the key lengths used are not always appropriate for the purpose</t>
  </si>
  <si>
    <t>Cryptographic keys are often lost or compromised, potentially resulting in the loss of encrypted data</t>
  </si>
  <si>
    <t>There are no guidelines, rules, or secure storage locations provided for cryptographic keys</t>
  </si>
  <si>
    <t>Some locations are shared with other companies and physical separation is badly-defined</t>
  </si>
  <si>
    <t>Unauthorised people are able to bypass entry controls</t>
  </si>
  <si>
    <t>Care of access cards in some locations is inadequate e.g. stored in unlocked drawers</t>
  </si>
  <si>
    <t>Some rooms which are used to discuss sensitive business issues, involving the use of whiteboards, are not sufficiently secured</t>
  </si>
  <si>
    <t>An accident, attack or natural disaster could destroy or severely affect sensitive information and its processing</t>
  </si>
  <si>
    <t>A new chemical processing plant has been constructed near to the data centre</t>
  </si>
  <si>
    <t>No regular checks are made on how well secure areas are maintained</t>
  </si>
  <si>
    <t>Access could be gained to secure areas via a publicly-accessible delivery area</t>
  </si>
  <si>
    <t>At some smaller locations, deliveries are made to within a secure office</t>
  </si>
  <si>
    <t xml:space="preserve">Some of the computer screens in HR point towards a glass partition with an employee rest area on the other side of it </t>
  </si>
  <si>
    <t>Power supply is variable at some locations, with regular disruptions</t>
  </si>
  <si>
    <t>Someone could listen in to sensitive information by tapping a cable</t>
  </si>
  <si>
    <t>Some cables are routed along the outside of walls to which there is public access</t>
  </si>
  <si>
    <t>Equipment often breaks down or fails to protect information due to a lack of appropriate care</t>
  </si>
  <si>
    <t>Some of the equipment used for business-critical operations is old</t>
  </si>
  <si>
    <t>No rules are in place about which equipment may be removed, and under what circumstances</t>
  </si>
  <si>
    <t>Laptops are often taken to conferences, on planes and in hotel rooms</t>
  </si>
  <si>
    <t>Devices with flash storage are not always wiped effectively when being disposed of</t>
  </si>
  <si>
    <t xml:space="preserve">Someone could access systems they are not authorised to using a device that has been left logged on </t>
  </si>
  <si>
    <t>Employees often leave their desks for meetings, lunch and coffee breaks</t>
  </si>
  <si>
    <t>Work in progress is often left out overnight</t>
  </si>
  <si>
    <t>Loss of data due to incorrect performance of operating procedures</t>
  </si>
  <si>
    <t>Information security may become compromised when changes are made to the organization, business processes or information processing facilities and systems</t>
  </si>
  <si>
    <t>Changes are managed informally, with little focus on information security</t>
  </si>
  <si>
    <t>Performance and capacity of resources such as storage and processors is not monitored</t>
  </si>
  <si>
    <t xml:space="preserve">A poorly-tested software change results in errors in a business-critical process </t>
  </si>
  <si>
    <t>Inadequate control over admin functions that have the potential to disrupt operations if used incorrectly or inappropriately</t>
  </si>
  <si>
    <t>Systems are  affected by malware e.g. ransomware or spyware, having a serious effect on service delivery and security</t>
  </si>
  <si>
    <t>The anti-malware program in use does not have a good reputation for effectiveness</t>
  </si>
  <si>
    <t>Data is  lost and cannot be recovered from backup</t>
  </si>
  <si>
    <t>It is not clear what backups are required or take place</t>
  </si>
  <si>
    <t>Logging is inconsistent and poorly configured in many areas of hardware and software</t>
  </si>
  <si>
    <t>Logs are not subject to access controls and are not backed up</t>
  </si>
  <si>
    <t>An insider with admin access views sensitive data</t>
  </si>
  <si>
    <t>Clocks on systems are not synchronised</t>
  </si>
  <si>
    <t>Little monitoring of cloud services is in place</t>
  </si>
  <si>
    <t>Installation of software is not subject to change control</t>
  </si>
  <si>
    <t>A hacker exploits an undetected vulnerability and steals information</t>
  </si>
  <si>
    <t xml:space="preserve">Vulnerabilities in systems are not identified or addressed and could be exploited by attackers </t>
  </si>
  <si>
    <t>Users regularly install downloaded software on to their computers and onto servers</t>
  </si>
  <si>
    <t>Penetration tests disrupt a live system during peak service hours</t>
  </si>
  <si>
    <t>There is no coordination between the audit department and business operations</t>
  </si>
  <si>
    <t>An external threat actor is able to gain access to the network</t>
  </si>
  <si>
    <t>Contracts with suppliers are generally quite vague regarding the services provided</t>
  </si>
  <si>
    <t>An external threat actor is able to gain access to a less critical network, and then use this access to enter more business-critical networks</t>
  </si>
  <si>
    <t>A hacker is able to exploit the weaknesses in virtual networking to carry out an attack</t>
  </si>
  <si>
    <t>It is not clear what controls should be applied to information in transit</t>
  </si>
  <si>
    <t>Information in transit to and from third parties is intercepted and compromised</t>
  </si>
  <si>
    <t>Confidential emails are intercepted and used as the basis for an attack e.g. fraudulent bank transfer</t>
  </si>
  <si>
    <t>information sent in electronic messaging systems e.g. email and messenger services, is not protected</t>
  </si>
  <si>
    <t>Non-disclosure agreements are not routinely put in place</t>
  </si>
  <si>
    <t>New or changed systems are open to attack in ways that could have been predicted</t>
  </si>
  <si>
    <t>The level of encryption used for application services is weak</t>
  </si>
  <si>
    <t>Application service transactions are used to mount an attack on the organization or its business partners</t>
  </si>
  <si>
    <t>Application service transactions are open to amendment whilst in transit, with no indication that they have been altered</t>
  </si>
  <si>
    <t>No guidance is given to developers about how to write secure code</t>
  </si>
  <si>
    <t>No formal change controls procedures are used within the organization</t>
  </si>
  <si>
    <t>There is no coordination between the teams rolling out operating platform changes and the application support teams</t>
  </si>
  <si>
    <t>There is a culture of making sometimes unnecessary changes to off the shelf packages, for limited business benefits</t>
  </si>
  <si>
    <t>Systems are designed without adequate regard to, or knowledge of, information security</t>
  </si>
  <si>
    <t>No guidance is given to system designers about how to create secure systems</t>
  </si>
  <si>
    <t>Development environments are able to be accessed by unauthorised persons who could introduce code that makes future attacks easier</t>
  </si>
  <si>
    <t>The development environment has inadequate access control</t>
  </si>
  <si>
    <t>Code developed by an outsourcing provider may contain security flaws that are not discovered by the organization</t>
  </si>
  <si>
    <t>There are few checks on how code is written by third parties</t>
  </si>
  <si>
    <t>No testing is routinely carried out on the security aspects of new or changed systems</t>
  </si>
  <si>
    <t>Insufficient time is allocated to checking systems before they go live</t>
  </si>
  <si>
    <t>Test data is out of date and unrepresentative of system usage. It is held in an unsecured area</t>
  </si>
  <si>
    <t>Little is known about the security controls that suppliers have in place</t>
  </si>
  <si>
    <t>No contractual requirements are specified that suppliers must meet in the area of information security</t>
  </si>
  <si>
    <t>We are generally unaware of whether suppliers use subcontractors, and if they do, who they are</t>
  </si>
  <si>
    <t>No statistics are collected or reported on regarding the levels of service provided by suppliers</t>
  </si>
  <si>
    <t xml:space="preserve">A supplier e.g. cloud service provider, makes a change that is not expected and which significantly affects the organization's business processes </t>
  </si>
  <si>
    <t>Although we are informed of changes, we don't generally take notice of these as part of our change management process</t>
  </si>
  <si>
    <t>Responsibilities for information security incidents are not defined and no-one knows what to do if one is detected</t>
  </si>
  <si>
    <t>Events are happening all the time, but we don't have a way to bring them to the right person's attention</t>
  </si>
  <si>
    <t>No-one has been asked to tell us if they become aware of a potential security issue</t>
  </si>
  <si>
    <t>We don't have an effective way to assess whether an event, or collection of events, represents an incident or not</t>
  </si>
  <si>
    <t>There is no plan for what to do if a serious incident occurs</t>
  </si>
  <si>
    <t>We tend to suffer the same types of incidents time after time</t>
  </si>
  <si>
    <t>No-one knows how to preserve or collect evidence in a form that would be admissible in court</t>
  </si>
  <si>
    <t>Business continuity planning generally has little input from information security</t>
  </si>
  <si>
    <t>Some of the business continuity plans in place involve using facilities with few controls available, compared to normal operation</t>
  </si>
  <si>
    <t>Information security controls are not routinely tested as part of business continuity tests</t>
  </si>
  <si>
    <t>The level of availability required from systems is often not defined</t>
  </si>
  <si>
    <t>There is no procedure or resourcing to understand what legal, regulatory and contractual requirements we should be meeting</t>
  </si>
  <si>
    <t>People in the business are generally not aware about copyright laws and what we should be doing to stay within them</t>
  </si>
  <si>
    <t>There is no definition of the records that should be retained, how long for, and how they should be protected</t>
  </si>
  <si>
    <t>The organization's processing of PII does not always meet legal requirements</t>
  </si>
  <si>
    <t>There is little understanding of what may, and may not, be done in the area of cryptography</t>
  </si>
  <si>
    <t>Although controls are theoretically in place, many aspects of the business have changed and the controls have not been changed with them</t>
  </si>
  <si>
    <t>Operating platforms are regularly being updated, but little attention is paid to whether the changes affect security</t>
  </si>
  <si>
    <t>Examples of Assets</t>
  </si>
  <si>
    <t>The following is an initial list of typical assets that may be use as guidance for your risk assessment.</t>
  </si>
  <si>
    <t>Note: information assets should be captured in more detail in the Information Asset Inventory.</t>
  </si>
  <si>
    <t xml:space="preserve"> ASSET GROUP</t>
  </si>
  <si>
    <t>SUB-CATEGORY</t>
  </si>
  <si>
    <t>ASSET</t>
  </si>
  <si>
    <t>Business-critical activities</t>
  </si>
  <si>
    <t>Supporting activities</t>
  </si>
  <si>
    <t>Compliance</t>
  </si>
  <si>
    <t>Cloud customer data</t>
  </si>
  <si>
    <t>Personally identifiable information (PII)</t>
  </si>
  <si>
    <t>Non-PII</t>
  </si>
  <si>
    <t>Corporate</t>
  </si>
  <si>
    <t>Budgets</t>
  </si>
  <si>
    <t>Sales forecasts</t>
  </si>
  <si>
    <t>Corporate plans</t>
  </si>
  <si>
    <t>Corporate policies</t>
  </si>
  <si>
    <t>Sales and Marketing</t>
  </si>
  <si>
    <t>Customer records - names, addresses, contacts</t>
  </si>
  <si>
    <t>Customer credit card information</t>
  </si>
  <si>
    <t>Customer bank details e.g. Direct Debits</t>
  </si>
  <si>
    <t>Website information</t>
  </si>
  <si>
    <t>Customer preferences and purchase history</t>
  </si>
  <si>
    <t>Customer correspondence and complaints</t>
  </si>
  <si>
    <t>Human Resources</t>
  </si>
  <si>
    <t>Employee records  - address, DOB, insurance numbers</t>
  </si>
  <si>
    <t>Employee expense claims</t>
  </si>
  <si>
    <t>Payroll information, including bank details</t>
  </si>
  <si>
    <t>Training records</t>
  </si>
  <si>
    <t>Recruitment information</t>
  </si>
  <si>
    <t>Security clearance/check information</t>
  </si>
  <si>
    <t>Employee complaints/disciplinary records</t>
  </si>
  <si>
    <t>Sickness/occupational health records</t>
  </si>
  <si>
    <t>Employment contracts</t>
  </si>
  <si>
    <t>Finance</t>
  </si>
  <si>
    <t>Accounting records - invoices, bills, accounts</t>
  </si>
  <si>
    <t>Business account banking details</t>
  </si>
  <si>
    <t>Buying</t>
  </si>
  <si>
    <t>Supplier contact details</t>
  </si>
  <si>
    <t>Buying plans</t>
  </si>
  <si>
    <t>Commercial terms</t>
  </si>
  <si>
    <t>Legal</t>
  </si>
  <si>
    <t>Supplier contracts</t>
  </si>
  <si>
    <t>Customer contracts</t>
  </si>
  <si>
    <t>Property leases</t>
  </si>
  <si>
    <t>Credit agreements</t>
  </si>
  <si>
    <t>Insurance policies</t>
  </si>
  <si>
    <t>Operations</t>
  </si>
  <si>
    <t>Documents held on behalf of customers</t>
  </si>
  <si>
    <t>Product specifications and bills of materials</t>
  </si>
  <si>
    <t>Process and procedural documentation</t>
  </si>
  <si>
    <t>Intellectual Property specific to the organisation</t>
  </si>
  <si>
    <t>Resource plans</t>
  </si>
  <si>
    <t>Audit and Compliance</t>
  </si>
  <si>
    <t>Internal audit records</t>
  </si>
  <si>
    <t>External audit reports</t>
  </si>
  <si>
    <t>Risk assessments</t>
  </si>
  <si>
    <t>Email</t>
  </si>
  <si>
    <t>Accounting</t>
  </si>
  <si>
    <t>Payroll</t>
  </si>
  <si>
    <t>Bespoke software</t>
  </si>
  <si>
    <t>Intranet</t>
  </si>
  <si>
    <t>Website</t>
  </si>
  <si>
    <t>Design</t>
  </si>
  <si>
    <t>Office applications</t>
  </si>
  <si>
    <t>Marketing</t>
  </si>
  <si>
    <t>Industry-specific applications</t>
  </si>
  <si>
    <t>Computer servers</t>
  </si>
  <si>
    <t>Networking equipment</t>
  </si>
  <si>
    <t>Personal Computers</t>
  </si>
  <si>
    <t>Mobile devices e.g. tablets</t>
  </si>
  <si>
    <t>Mobile/Smart phones</t>
  </si>
  <si>
    <t>Network connections</t>
  </si>
  <si>
    <t>Network devices</t>
  </si>
  <si>
    <t>Network configurations</t>
  </si>
  <si>
    <t>Buildings</t>
  </si>
  <si>
    <t>Server rooms, including air conditioning and power units</t>
  </si>
  <si>
    <t>Machinery</t>
  </si>
  <si>
    <t>Stock</t>
  </si>
  <si>
    <t>Vehicles</t>
  </si>
  <si>
    <t>Gas supply</t>
  </si>
  <si>
    <t>Water</t>
  </si>
  <si>
    <t>Network services</t>
  </si>
  <si>
    <t>Telephone services</t>
  </si>
  <si>
    <t>Key resources</t>
  </si>
  <si>
    <t>Owner/Chief Executive</t>
  </si>
  <si>
    <t>Managers</t>
  </si>
  <si>
    <t>Engineers</t>
  </si>
  <si>
    <t>Knowledge holders</t>
  </si>
  <si>
    <t>Management</t>
  </si>
  <si>
    <t>Structure</t>
  </si>
  <si>
    <t>Project</t>
  </si>
  <si>
    <t>Suppliers</t>
  </si>
  <si>
    <t>Other</t>
  </si>
  <si>
    <t>Examples of Threats</t>
  </si>
  <si>
    <t>The following is a standard list of typical threats that may be use as guidance for your risk assessment.</t>
  </si>
  <si>
    <t xml:space="preserve"> THREAT CATEGORY</t>
  </si>
  <si>
    <t>THREAT</t>
  </si>
  <si>
    <t>EXAMPLE</t>
  </si>
  <si>
    <t>Human</t>
  </si>
  <si>
    <t>Malicious outsider</t>
  </si>
  <si>
    <t>Someone launches a denial of service attack on your cloud service platform</t>
  </si>
  <si>
    <t>An employee or trusted third party accesses cardholder data in an unauthorised manner from inside your network</t>
  </si>
  <si>
    <t>Loss of key personnel</t>
  </si>
  <si>
    <t>Human error</t>
  </si>
  <si>
    <t>An employee accidentally deletes cardholder data</t>
  </si>
  <si>
    <t>Accidental loss</t>
  </si>
  <si>
    <t xml:space="preserve">A manager loses a memory stick with cardholder data on it </t>
  </si>
  <si>
    <t>Natural</t>
  </si>
  <si>
    <t>Fire</t>
  </si>
  <si>
    <t>Your data centre burns down due to an electrical fault</t>
  </si>
  <si>
    <t>Flood</t>
  </si>
  <si>
    <t>The nearby river breaks its banks and your main office is severely flooded</t>
  </si>
  <si>
    <t>Severe weather</t>
  </si>
  <si>
    <t>Non-one can get into the office due to the weather</t>
  </si>
  <si>
    <t>Earthquake</t>
  </si>
  <si>
    <t>The area of your main data centre is affected by an earth tremor that damages all your servers</t>
  </si>
  <si>
    <t>Lightning</t>
  </si>
  <si>
    <t>All your servers are fried by a lightning strike on the data centre building</t>
  </si>
  <si>
    <t>Technical</t>
  </si>
  <si>
    <t>Hardware failure</t>
  </si>
  <si>
    <t>Software failure</t>
  </si>
  <si>
    <t>Your financial system processes invoices incorrectly due to a bug</t>
  </si>
  <si>
    <t>Virus/Malicious code</t>
  </si>
  <si>
    <t>A virus spreads throughout your network preventing access to your (and your customers') data</t>
  </si>
  <si>
    <t>Physical</t>
  </si>
  <si>
    <t>Sabotage</t>
  </si>
  <si>
    <t>A disgruntled ex-employee takes an axe to your server room</t>
  </si>
  <si>
    <t>Theft</t>
  </si>
  <si>
    <t>You come in on Monday morning to find some important drives have been stolen</t>
  </si>
  <si>
    <t>Arson</t>
  </si>
  <si>
    <t>Someone with a grudge against your organisation starts a fire during the night</t>
  </si>
  <si>
    <t>Environmental</t>
  </si>
  <si>
    <t>Hazardous waste</t>
  </si>
  <si>
    <t>A lorry carrying hazardous waste has an accident outside your office</t>
  </si>
  <si>
    <t>Power failure</t>
  </si>
  <si>
    <t>The sub-station supplying your area has a meltdown</t>
  </si>
  <si>
    <t>Gas supply failure</t>
  </si>
  <si>
    <t>There is a suspected leak and all supplies are turned off</t>
  </si>
  <si>
    <t>Operational</t>
  </si>
  <si>
    <t>Process error</t>
  </si>
  <si>
    <t>Your new data transfer procedure doesn't cater for unexpected circumstances and cardholder data is lost or sent to the wrong destination</t>
  </si>
  <si>
    <t>Crime scene</t>
  </si>
  <si>
    <t>A crime happens in or near your office and the area is sealed off by police</t>
  </si>
  <si>
    <t>Count of Asset Group</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</si>
  <si>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This document should be used to perform a risk assessment, including assessing the expected effects of treatments.</t>
    </r>
  </si>
  <si>
    <t xml:space="preserve"> </t>
  </si>
  <si>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should be used to perform an asset-based risk assessment, including assessing the expected effects of treatments.</t>
    </r>
  </si>
  <si>
    <r>
      <rPr>
        <b/>
        <sz val="16"/>
        <color theme="2" tint="-0.499984740745262"/>
        <rFont val="Calibri"/>
        <family val="2"/>
        <scheme val="minor"/>
      </rPr>
      <t>Areas of the standard addressed</t>
    </r>
    <r>
      <rPr>
        <sz val="11"/>
        <color rgb="FF444444"/>
        <rFont val="Calibri"/>
        <family val="2"/>
        <scheme val="minor"/>
      </rPr>
      <t xml:space="preserve">
The following areas of the ISO/IEC 27001 standard are addressed:
</t>
    </r>
    <r>
      <rPr>
        <i/>
        <sz val="11"/>
        <color rgb="FF444444"/>
        <rFont val="Calibri"/>
        <family val="2"/>
        <scheme val="minor"/>
      </rPr>
      <t>6.1 Actions to address risks and opportunities
6.1.2 Information security risk assessment
6.1.3 Information security risk treatment</t>
    </r>
  </si>
  <si>
    <r>
      <rPr>
        <b/>
        <sz val="16"/>
        <color theme="2" tint="-0.499984740745262"/>
        <rFont val="Calibri"/>
        <family val="2"/>
        <scheme val="minor"/>
      </rPr>
      <t>Review frequency</t>
    </r>
    <r>
      <rPr>
        <sz val="11"/>
        <color rgb="FF444444"/>
        <rFont val="Calibri"/>
        <family val="2"/>
        <scheme val="minor"/>
      </rPr>
      <t xml:space="preserve">
It is a good idea to revisit this risk assessment on a regular basis and to ensure that new risks that occur are identified and assessed.</t>
    </r>
  </si>
  <si>
    <t xml:space="preserve"> </t>
  </si>
  <si>
    <t xml:space="preserve"> </t>
  </si>
  <si>
    <t xml:space="preserve"> </t>
  </si>
  <si>
    <t>سري - استخدام داخلي</t>
  </si>
  <si>
    <t>[Short, descriptive title]</t>
  </si>
  <si>
    <t>[Describe the scope of the risk assessment - for example, location, process, assets]</t>
  </si>
  <si>
    <t>[Describe the general environment in which the analysis is carried out and internal and external factors affecting it]</t>
  </si>
  <si>
    <t>[Set out the factors which will make a risk acceptable and therefore not require treatment]</t>
  </si>
  <si>
    <t>[Start at Version 1]</t>
  </si>
  <si>
    <t>[Date the assessment was carried out]</t>
  </si>
  <si>
    <t>[Name and title of person(s) carrying out the risk assessment]</t>
  </si>
  <si>
    <t>[Names and titles of people contributing to the risk assessment]</t>
  </si>
  <si>
    <t>[Name and title of approver]</t>
  </si>
  <si>
    <t>[Date the assessment was approved]</t>
  </si>
  <si>
    <t>Start with your most valuable assets and the most likely threats that will cause the highest impact.</t>
  </si>
  <si>
    <t>Calculated</t>
  </si>
  <si>
    <t>Project document stores are set up ad hoc and often outside of more formal access controls</t>
  </si>
  <si>
    <t>Employees and contractors are not aware of information security policies and  are unable to spot potential breaches</t>
  </si>
  <si>
    <t>Guest Wi-Fi is connected to the main network without an adequate firewall in place</t>
  </si>
  <si>
    <t>Policies are not generally available and little re-enforcement of their messages is routinely given</t>
  </si>
  <si>
    <t xml:space="preserve"> </t>
  </si>
  <si>
    <t>ISO/IEC 27001 Annex A Reference Controls</t>
  </si>
  <si>
    <t>A.5 Organizational controls</t>
  </si>
  <si>
    <t>A.5.1 Policies for information security</t>
  </si>
  <si>
    <t>A.5.2 Information security roles and responsibilities</t>
  </si>
  <si>
    <t>A.5.3 Segregation of duties</t>
  </si>
  <si>
    <t>A.5.4 Management responsibilities</t>
  </si>
  <si>
    <t>A.5.5 Contact with authorities</t>
  </si>
  <si>
    <t>A.5.6 Contact with special interest groups</t>
  </si>
  <si>
    <t>A.5.7 Threat intelligence</t>
  </si>
  <si>
    <t>A.5.8 Information security in project management</t>
  </si>
  <si>
    <t>A.5.9 Inventory of information and other associated assets</t>
  </si>
  <si>
    <t>A.5.10 Acceptable use of information and other associated assets</t>
  </si>
  <si>
    <t>A.5.11 Return of assets</t>
  </si>
  <si>
    <t>A.5.12 Classification of information</t>
  </si>
  <si>
    <t>A.5.13 Labelling of information</t>
  </si>
  <si>
    <t>A.5.14 Information transfer</t>
  </si>
  <si>
    <t>A.5.15 Access control</t>
  </si>
  <si>
    <t>A.5.16 Identity management</t>
  </si>
  <si>
    <t>A.5.17 Authentication information</t>
  </si>
  <si>
    <t>A.5.18 Access rights</t>
  </si>
  <si>
    <t>A.5.19 Information security in supplier relationships</t>
  </si>
  <si>
    <t>A.5.20 Addressing information security within supplier agreements</t>
  </si>
  <si>
    <t>A.5.21 Managing information security in the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</si>
  <si>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</si>
  <si>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</si>
  <si>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</si>
  <si>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</si>
  <si>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A.5.26 Response to information security incidents</t>
  </si>
  <si>
    <t>A.5.27 Learning from information security incidents</t>
  </si>
  <si>
    <t>A.5.28 Collection of evidence</t>
  </si>
  <si>
    <t>A.5.29 Information security during disruption</t>
  </si>
  <si>
    <t>A.5.30 ICT readiness for business continuity</t>
  </si>
  <si>
    <t>A.5.31 Legal, statutory, regulatory and contractual requirements</t>
  </si>
  <si>
    <t>A.5.32 Intellectual property rights</t>
  </si>
  <si>
    <t>A.5.33 Protection of records</t>
  </si>
  <si>
    <t>A.5.34 Privacy and protection of PII</t>
  </si>
  <si>
    <t>A.5.35 Independent review of information security</t>
  </si>
  <si>
    <t>A.5.36 Compliance with policies, rules and standards for information security</t>
  </si>
  <si>
    <t>A.5.37 Documented operating procedures</t>
  </si>
  <si>
    <t>A.6 People controls</t>
  </si>
  <si>
    <t>A.6.1 Screening</t>
  </si>
  <si>
    <t>A.6.2 Terms and conditions of employment</t>
  </si>
  <si>
    <t>A.6.3 Information security awareness, education and training</t>
  </si>
  <si>
    <t>A.6.4 Disciplinary process</t>
  </si>
  <si>
    <t>A.6.5 Responsibilities after termination or change of employment</t>
  </si>
  <si>
    <t>A.6.6 Confidentiality or non-disclosure agreements</t>
  </si>
  <si>
    <t>A.6.7 Remote working</t>
  </si>
  <si>
    <t>A.6.8 Information security event reporting</t>
  </si>
  <si>
    <t>A.7.1 Physical security perimeters</t>
  </si>
  <si>
    <t>A.7.2 Physical entry</t>
  </si>
  <si>
    <t>A.7.3 Securing offices, rooms and facilities</t>
  </si>
  <si>
    <t>A.7.4 Physical security monitoring</t>
  </si>
  <si>
    <t>A.7.5 Protecting against physical and environmental threats</t>
  </si>
  <si>
    <t>A.7.6 Working in secure areas</t>
  </si>
  <si>
    <t>A.7.7 Clear desk and clear screen</t>
  </si>
  <si>
    <t>A.7.8 Equipment siting and protection</t>
  </si>
  <si>
    <t>A.7.9 Security of assets off-premises</t>
  </si>
  <si>
    <t>A.7.10 Storage media</t>
  </si>
  <si>
    <t>A.7.11 Supporting utilities</t>
  </si>
  <si>
    <t>A.7.12 Cabling security</t>
  </si>
  <si>
    <t>A.7.13 Equipment maintenance</t>
  </si>
  <si>
    <t>A.7.14 Secure disposal or re-use of equipment</t>
  </si>
  <si>
    <t>A.7 Physical controls</t>
  </si>
  <si>
    <t>A.8 Technological controls</t>
  </si>
  <si>
    <t>A.8.1 User endpoint devices</t>
  </si>
  <si>
    <t>A.8.2 Privileged access rights</t>
  </si>
  <si>
    <t>A.8.3 Information access restriction</t>
  </si>
  <si>
    <t>A.8.4 Access to source code</t>
  </si>
  <si>
    <t>A.8.5 Secure authentication</t>
  </si>
  <si>
    <t>A.8.6 Capacity management</t>
  </si>
  <si>
    <t>A.8.7 Protection against malware</t>
  </si>
  <si>
    <t>A.8.8 Management of technical vulnerabilities</t>
  </si>
  <si>
    <t>A.8.9 Configuration management</t>
  </si>
  <si>
    <t>A.8.10 Information deletion</t>
  </si>
  <si>
    <t>A.8.11 Data masking</t>
  </si>
  <si>
    <t>A.8.12 Data leakage prevention</t>
  </si>
  <si>
    <t>A.8.13 Information backup</t>
  </si>
  <si>
    <t>A.8.14 Redundancy of information processing facilities</t>
  </si>
  <si>
    <t>A.8.15 Logging</t>
  </si>
  <si>
    <t>A.8.16 Monitoring activities</t>
  </si>
  <si>
    <t>A.8.17 Clock synchronization</t>
  </si>
  <si>
    <t>A.8.18 Use of privileged utility programs</t>
  </si>
  <si>
    <t>A.8.19 Installation of software on operational systems</t>
  </si>
  <si>
    <t>A.8.20 Networks security</t>
  </si>
  <si>
    <t>A.8.21 Security of network services</t>
  </si>
  <si>
    <t>A.8.22 Segregation of networks</t>
  </si>
  <si>
    <t>A.8.23 Web filtering</t>
  </si>
  <si>
    <t>A.8.24 Use of cryptography</t>
  </si>
  <si>
    <t>A.8.25 Secure development life cycle</t>
  </si>
  <si>
    <t>A.8.26 Application security requirements</t>
  </si>
  <si>
    <t>A.8.27 Secure system architecture and engineering principles</t>
  </si>
  <si>
    <t>A.8.28 Secure coding</t>
  </si>
  <si>
    <t>A.8.29 Security testing in development and acceptance</t>
  </si>
  <si>
    <t>A.8.30 Outsourced development</t>
  </si>
  <si>
    <t>A.8.31 Separation of development, test and production environments</t>
  </si>
  <si>
    <t>A.8.32 Change management</t>
  </si>
  <si>
    <t>A.8.33 Test information</t>
  </si>
  <si>
    <t>A.8.34 Protection of information systems during audit testing</t>
  </si>
  <si>
    <r>
      <rPr>
        <b/>
        <sz val="16"/>
        <color theme="2" tint="-0.499984740745262"/>
        <rFont val="Calibri"/>
        <family val="2"/>
        <scheme val="minor"/>
      </rPr>
      <t>General guidance</t>
    </r>
    <r>
      <rPr>
        <sz val="11"/>
        <color rgb="FF444444"/>
        <rFont val="Calibri"/>
        <family val="2"/>
        <scheme val="minor"/>
      </rPr>
      <t xml:space="preserve">
The key objective of the risk assessment is to ensure that all of the serious risks that need treatment are identified so that something can be done about them. Be careful not to make your risk assessment too large or complicated as much of the impact will be lost and it will be difficult to repeat at a later date. This tool is intended to be used to assess the effects of the proposed treatments also, so that the level of residual risk can be shown.
You may find that more than one control is applicable for a specific risk; if so you should list all of the controls in the same cell.
A summary of the type of risk that each Annex A control is intended to address is included to aid understanding and help in identifying risks. This may also be useful when completing your Statement of Applicability.</t>
    </r>
  </si>
  <si>
    <t>ISO/IEC 27001 Asset-based risk assessment and treatment tool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</si>
</sst>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809]dd\ mmmm\ yyyy;@"/>
  </numFmts>
  <fonts count="29"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sz val="11"/>
      <color rgb="FF444444"/>
      <name val="Calibri"/>
      <family val="2"/>
      <scheme val="minor"/>
    </font>
    <font>
      <b/>
      <sz val="11"/>
      <color rgb="FF444444"/>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
      <b/>
      <sz val="16"/>
      <color theme="1"/>
      <name val="Calibri"/>
      <family val="2"/>
      <scheme val="minor"/>
    </font>
    <font>
      <sz val="11"/>
      <color theme="0"/>
      <name val="Calibri"/>
      <family val="2"/>
      <scheme val="minor"/>
    </font>
    <font>
      <b/>
      <sz val="12"/>
      <color rgb="FF444444"/>
      <name val="Calibri"/>
      <family val="2"/>
      <scheme val="minor"/>
    </font>
    <font>
      <b/>
      <sz val="14"/>
      <color theme="1"/>
      <name val="Calibri"/>
      <family val="2"/>
      <scheme val="minor"/>
    </font>
    <font>
      <b/>
      <sz val="9"/>
      <color indexed="81"/>
      <name val="Tahoma"/>
      <family val="2"/>
    </font>
    <font>
      <b/>
      <sz val="14"/>
      <color theme="0"/>
      <name val="Calibri"/>
      <family val="2"/>
      <scheme val="minor"/>
    </font>
    <font>
      <sz val="10"/>
      <color rgb="FF444444"/>
      <name val="Calibri"/>
      <family val="2"/>
      <scheme val="minor"/>
    </font>
    <font>
      <b/>
      <sz val="9"/>
      <color theme="1"/>
      <name val="Calibri"/>
      <family val="2"/>
      <scheme val="minor"/>
    </font>
    <font>
      <b/>
      <u/>
      <sz val="9"/>
      <color rgb="FF444444"/>
      <name val="Calibri"/>
      <family val="2"/>
      <scheme val="minor"/>
    </font>
    <font>
      <sz val="9"/>
      <color rgb="FF444444"/>
      <name val="Calibri"/>
      <family val="2"/>
      <scheme val="minor"/>
    </font>
    <font>
      <b/>
      <sz val="9"/>
      <color rgb="FF444444"/>
      <name val="Calibri"/>
      <family val="2"/>
      <scheme val="minor"/>
    </font>
    <font>
      <b/>
      <sz val="9"/>
      <color theme="0"/>
      <name val="Calibri"/>
      <family val="2"/>
      <scheme val="minor"/>
    </font>
    <font>
      <sz val="11"/>
      <name val="Calibri"/>
      <family val="2"/>
      <scheme val="minor"/>
    </font>
    <font>
      <b/>
      <sz val="14"/>
      <color rgb="FF000000"/>
      <name val="Calibri"/>
      <family val="2"/>
      <scheme val="minor"/>
    </font>
    <font>
      <sz val="9"/>
      <color indexed="81"/>
      <name val="Tahoma"/>
      <family val="2"/>
    </font>
    <font>
      <b/>
      <sz val="18"/>
      <color theme="2" tint="-0.499984740745262"/>
      <name val="Calibri"/>
      <family val="2"/>
      <scheme val="minor"/>
    </font>
    <font>
      <b/>
      <sz val="16"/>
      <color theme="2" tint="-0.499984740745262"/>
      <name val="Calibri"/>
      <family val="2"/>
      <scheme val="minor"/>
    </font>
    <font>
      <i/>
      <sz val="11"/>
      <color rgb="FF444444"/>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0" tint="-4.9989318521683403E-2"/>
        <bgColor indexed="64"/>
      </patternFill>
    </fill>
    <fill>
      <patternFill patternType="solid">
        <fgColor rgb="FFFFFF0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style="medium">
        <color theme="0"/>
      </right>
      <top/>
      <bottom/>
      <diagonal/>
    </border>
    <border>
      <left style="medium">
        <color theme="0"/>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bottom style="thick">
        <color theme="2" tint="-0.499984740745262"/>
      </bottom>
      <diagonal/>
    </border>
    <border>
      <left/>
      <right/>
      <top/>
      <bottom style="thick">
        <color rgb="FF009BA4"/>
      </bottom>
      <diagonal/>
    </border>
    <border>
      <left/>
      <right/>
      <top/>
      <bottom style="thick">
        <color theme="0"/>
      </bottom>
      <diagonal/>
    </border>
    <border>
      <left style="thick">
        <color theme="0"/>
      </left>
      <right style="thick">
        <color theme="0"/>
      </right>
      <top style="thick">
        <color theme="0"/>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right style="thick">
        <color theme="0"/>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bottom style="thick">
        <color theme="2"/>
      </bottom>
      <diagonal/>
    </border>
    <border>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style="thin">
        <color theme="2" tint="-0.499984740745262"/>
      </right>
      <top/>
      <bottom/>
      <diagonal/>
    </border>
    <border>
      <left/>
      <right style="thin">
        <color theme="2" tint="-0.499984740745262"/>
      </right>
      <top style="thin">
        <color theme="2" tint="-0.499984740745262"/>
      </top>
      <bottom style="thin">
        <color theme="2" tint="-0.499984740745262"/>
      </bottom>
      <diagonal/>
    </border>
    <border>
      <left/>
      <right/>
      <top/>
      <bottom style="medium">
        <color theme="2"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16">
    <xf numFmtId="0" fontId="0" fillId="0" borderId="0" xfId="0"/>
    <xf numFmtId="0" fontId="6" fillId="0" borderId="0" xfId="0" applyFont="1"/>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horizontal="right" vertical="top"/>
    </xf>
    <xf numFmtId="0" fontId="0" fillId="0" borderId="0" xfId="0" applyAlignment="1">
      <alignment horizontal="left"/>
    </xf>
    <xf numFmtId="0" fontId="7" fillId="0" borderId="0" xfId="0" applyFont="1" applyAlignment="1">
      <alignment vertical="top" wrapText="1"/>
    </xf>
    <xf numFmtId="0" fontId="0" fillId="0" borderId="0" xfId="0" applyAlignment="1">
      <alignment vertical="top" wrapText="1"/>
    </xf>
    <xf numFmtId="0" fontId="8" fillId="0" borderId="0" xfId="0" applyFont="1"/>
    <xf numFmtId="0" fontId="9" fillId="0" borderId="0" xfId="0" applyFont="1"/>
    <xf numFmtId="0" fontId="11" fillId="0" borderId="0" xfId="0" applyFont="1" applyAlignment="1">
      <alignment vertical="top"/>
    </xf>
    <xf numFmtId="0" fontId="0" fillId="0" borderId="0" xfId="0" applyAlignment="1">
      <alignment vertical="top"/>
    </xf>
    <xf numFmtId="0" fontId="0" fillId="0" borderId="0" xfId="0" applyAlignment="1">
      <alignment horizontal="left" vertical="top" wrapText="1"/>
    </xf>
    <xf numFmtId="0" fontId="6" fillId="0" borderId="0" xfId="0" applyFont="1" applyAlignment="1">
      <alignment horizontal="left" vertical="top" wrapText="1"/>
    </xf>
    <xf numFmtId="0" fontId="0" fillId="0" borderId="0" xfId="0" applyAlignment="1" applyProtection="1">
      <alignment horizontal="left" vertical="top" wrapText="1"/>
      <protection locked="0"/>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3" fillId="0" borderId="0" xfId="0" applyFont="1" applyAlignment="1">
      <alignment vertical="top"/>
    </xf>
    <xf numFmtId="0" fontId="6" fillId="0" borderId="0" xfId="0" applyFont="1" applyAlignment="1" applyProtection="1">
      <alignment horizontal="right" vertical="top"/>
      <protection locked="0"/>
    </xf>
    <xf numFmtId="0" fontId="6" fillId="0" borderId="0" xfId="0" applyFont="1" applyAlignment="1" applyProtection="1">
      <alignment vertical="top"/>
      <protection locked="0"/>
    </xf>
    <xf numFmtId="0" fontId="11" fillId="0" borderId="0" xfId="0" applyFont="1" applyAlignment="1" applyProtection="1">
      <alignment vertical="top"/>
      <protection locked="0"/>
    </xf>
    <xf numFmtId="0" fontId="13" fillId="0" borderId="0" xfId="0" applyFont="1" applyAlignment="1">
      <alignment vertical="top"/>
    </xf>
    <xf numFmtId="0" fontId="14" fillId="0" borderId="0" xfId="0" applyFont="1"/>
    <xf numFmtId="0" fontId="12" fillId="0" borderId="0" xfId="0" applyFont="1" applyAlignment="1">
      <alignment horizontal="right"/>
    </xf>
    <xf numFmtId="0" fontId="10" fillId="0" borderId="0" xfId="0" applyFont="1"/>
    <xf numFmtId="0" fontId="10" fillId="0" borderId="0" xfId="0" applyFont="1" applyAlignment="1">
      <alignment horizontal="left"/>
    </xf>
    <xf numFmtId="0" fontId="11" fillId="0" borderId="0" xfId="0" applyFont="1"/>
    <xf numFmtId="0" fontId="10" fillId="5" borderId="5" xfId="0" applyFont="1" applyFill="1" applyBorder="1" applyAlignment="1">
      <alignment vertical="top" wrapText="1"/>
    </xf>
    <xf numFmtId="0" fontId="14" fillId="0" borderId="0" xfId="0" applyFont="1" applyAlignment="1">
      <alignment vertical="top"/>
    </xf>
    <xf numFmtId="0" fontId="3" fillId="6" borderId="0" xfId="0" applyFont="1" applyFill="1" applyAlignment="1">
      <alignment vertical="center" wrapText="1"/>
    </xf>
    <xf numFmtId="0" fontId="8" fillId="0" borderId="0" xfId="0" applyFont="1" applyAlignment="1">
      <alignment vertical="top" wrapText="1"/>
    </xf>
    <xf numFmtId="0" fontId="14" fillId="0" borderId="0" xfId="0" applyFont="1" applyAlignment="1">
      <alignment horizontal="left" vertical="top"/>
    </xf>
    <xf numFmtId="0" fontId="14" fillId="0" borderId="0" xfId="0" applyFont="1" applyAlignment="1">
      <alignment vertical="top" wrapText="1"/>
    </xf>
    <xf numFmtId="0" fontId="14" fillId="0" borderId="0" xfId="0" applyFont="1" applyAlignment="1">
      <alignment horizontal="left"/>
    </xf>
    <xf numFmtId="0" fontId="6" fillId="0" borderId="6" xfId="0" applyFont="1" applyBorder="1" applyAlignment="1">
      <alignment vertical="top"/>
    </xf>
    <xf numFmtId="0" fontId="3" fillId="6" borderId="0" xfId="0" applyFont="1" applyFill="1" applyAlignment="1" applyProtection="1">
      <alignment vertical="center" wrapText="1"/>
      <protection locked="0"/>
    </xf>
    <xf numFmtId="0" fontId="3" fillId="6" borderId="0" xfId="0" applyFont="1" applyFill="1" applyAlignment="1" applyProtection="1">
      <alignment vertical="center"/>
      <protection locked="0"/>
    </xf>
    <xf numFmtId="0" fontId="3" fillId="6" borderId="0" xfId="0" applyFont="1" applyFill="1" applyAlignment="1">
      <alignment vertical="center"/>
    </xf>
    <xf numFmtId="0" fontId="0" fillId="0" borderId="7" xfId="0" applyBorder="1" applyAlignment="1">
      <alignment vertical="top"/>
    </xf>
    <xf numFmtId="0" fontId="3" fillId="7" borderId="0" xfId="0" applyFont="1" applyFill="1" applyAlignment="1">
      <alignment horizontal="left" vertical="center"/>
    </xf>
    <xf numFmtId="0" fontId="3" fillId="7" borderId="3" xfId="0" applyFont="1" applyFill="1" applyBorder="1" applyAlignment="1">
      <alignment horizontal="left" vertical="center"/>
    </xf>
    <xf numFmtId="0" fontId="6" fillId="0" borderId="7" xfId="0" applyFont="1" applyBorder="1" applyAlignment="1">
      <alignment vertical="top"/>
    </xf>
    <xf numFmtId="0" fontId="12" fillId="6" borderId="0" xfId="0" applyFont="1" applyFill="1"/>
    <xf numFmtId="0" fontId="12" fillId="0" borderId="0" xfId="0" applyFont="1"/>
    <xf numFmtId="0" fontId="16" fillId="6" borderId="0" xfId="0" applyFont="1" applyFill="1"/>
    <xf numFmtId="0" fontId="0" fillId="6" borderId="0" xfId="0" applyFill="1"/>
    <xf numFmtId="0" fontId="6" fillId="6" borderId="0" xfId="0" applyFont="1" applyFill="1" applyAlignment="1">
      <alignment vertical="top"/>
    </xf>
    <xf numFmtId="0" fontId="17" fillId="0" borderId="0" xfId="0" applyFont="1" applyAlignment="1">
      <alignment horizontal="center" vertical="top" textRotation="90"/>
    </xf>
    <xf numFmtId="0" fontId="16" fillId="6" borderId="0" xfId="0" applyFont="1" applyFill="1" applyAlignment="1">
      <alignment vertical="top"/>
    </xf>
    <xf numFmtId="0" fontId="16" fillId="0" borderId="0" xfId="0" applyFont="1" applyAlignment="1">
      <alignment vertical="top"/>
    </xf>
    <xf numFmtId="0" fontId="19" fillId="0" borderId="0" xfId="0" applyFont="1" applyAlignment="1">
      <alignment horizontal="left" vertical="center"/>
    </xf>
    <xf numFmtId="0" fontId="20" fillId="8" borderId="9" xfId="0" applyFont="1" applyFill="1" applyBorder="1" applyAlignment="1">
      <alignment horizontal="left" vertical="top" indent="1"/>
    </xf>
    <xf numFmtId="0" fontId="18" fillId="8" borderId="9" xfId="0" applyFont="1" applyFill="1" applyBorder="1" applyAlignment="1">
      <alignment horizontal="left" vertical="center" wrapText="1" indent="1"/>
    </xf>
    <xf numFmtId="0" fontId="0" fillId="8" borderId="10" xfId="0" applyFill="1" applyBorder="1" applyAlignment="1">
      <alignment horizontal="center" vertical="center"/>
    </xf>
    <xf numFmtId="0" fontId="0" fillId="2" borderId="11" xfId="0" applyFill="1" applyBorder="1" applyAlignment="1">
      <alignment horizontal="center" vertical="center"/>
    </xf>
    <xf numFmtId="0" fontId="0" fillId="3" borderId="11" xfId="0" applyFill="1" applyBorder="1" applyAlignment="1">
      <alignment horizontal="center" vertical="center"/>
    </xf>
    <xf numFmtId="0" fontId="0" fillId="0" borderId="0" xfId="0" applyAlignment="1">
      <alignment horizontal="center" vertical="center"/>
    </xf>
    <xf numFmtId="0" fontId="21" fillId="2" borderId="9" xfId="0" applyFont="1" applyFill="1" applyBorder="1" applyAlignment="1">
      <alignment horizontal="left" vertical="center" wrapText="1" indent="1"/>
    </xf>
    <xf numFmtId="0" fontId="22" fillId="3" borderId="9" xfId="0" applyFont="1" applyFill="1" applyBorder="1" applyAlignment="1">
      <alignment horizontal="left" vertical="center" wrapText="1" indent="1"/>
    </xf>
    <xf numFmtId="0" fontId="0" fillId="8" borderId="12" xfId="0" applyFill="1" applyBorder="1" applyAlignment="1">
      <alignment horizontal="center" vertical="center"/>
    </xf>
    <xf numFmtId="0" fontId="0" fillId="4" borderId="11" xfId="0" applyFill="1" applyBorder="1" applyAlignment="1">
      <alignment horizontal="center" vertical="center"/>
    </xf>
    <xf numFmtId="0" fontId="21" fillId="4" borderId="9" xfId="0" applyFont="1" applyFill="1" applyBorder="1" applyAlignment="1">
      <alignment horizontal="left" vertical="center" wrapText="1" indent="1"/>
    </xf>
    <xf numFmtId="0" fontId="0" fillId="8" borderId="13" xfId="0" applyFill="1" applyBorder="1"/>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10" fillId="0" borderId="0" xfId="0" applyFont="1" applyAlignment="1">
      <alignment horizontal="center" vertical="center"/>
    </xf>
    <xf numFmtId="0" fontId="0" fillId="0" borderId="0" xfId="0" quotePrefix="1" applyAlignment="1">
      <alignment horizontal="center" vertical="top"/>
    </xf>
    <xf numFmtId="0" fontId="0" fillId="0" borderId="0" xfId="0" applyAlignment="1">
      <alignment horizontal="center" vertical="top"/>
    </xf>
    <xf numFmtId="0" fontId="10" fillId="0" borderId="0" xfId="0" applyFont="1" applyAlignment="1">
      <alignment horizontal="left" vertical="top"/>
    </xf>
    <xf numFmtId="0" fontId="23" fillId="0" borderId="0" xfId="0" applyFont="1" applyAlignment="1">
      <alignment vertical="top" wrapText="1"/>
    </xf>
    <xf numFmtId="0" fontId="0" fillId="0" borderId="0" xfId="0" applyAlignment="1">
      <alignment horizontal="right"/>
    </xf>
    <xf numFmtId="0" fontId="3" fillId="6" borderId="0" xfId="0" applyFont="1" applyFill="1"/>
    <xf numFmtId="0" fontId="24" fillId="0" borderId="0" xfId="0" applyFont="1" applyAlignment="1">
      <alignment horizontal="left" vertical="top" readingOrder="1"/>
    </xf>
    <xf numFmtId="3" fontId="0" fillId="0" borderId="0" xfId="0" applyNumberFormat="1"/>
    <xf numFmtId="0" fontId="0" fillId="0" borderId="5" xfId="0" applyBorder="1" applyAlignment="1" applyProtection="1">
      <alignment vertical="top" wrapText="1"/>
      <protection locked="0"/>
    </xf>
    <xf numFmtId="0" fontId="0" fillId="0" borderId="0" xfId="0" applyAlignment="1" applyProtection="1">
      <alignment vertical="top"/>
      <protection locked="0"/>
    </xf>
    <xf numFmtId="0" fontId="10" fillId="0" borderId="0" xfId="0" applyFont="1" applyAlignment="1" applyProtection="1">
      <alignment vertical="center" wrapText="1"/>
      <protection locked="0"/>
    </xf>
    <xf numFmtId="0" fontId="10" fillId="0" borderId="0" xfId="0" applyFont="1" applyAlignment="1" applyProtection="1">
      <alignment vertical="center"/>
      <protection locked="0"/>
    </xf>
    <xf numFmtId="0" fontId="0" fillId="0" borderId="0" xfId="0" applyAlignment="1" applyProtection="1">
      <alignment horizontal="right" vertical="top"/>
      <protection locked="0"/>
    </xf>
    <xf numFmtId="0" fontId="0" fillId="0" borderId="0" xfId="0" applyAlignment="1" applyProtection="1">
      <alignment vertical="top" wrapText="1"/>
      <protection locked="0"/>
    </xf>
    <xf numFmtId="0" fontId="6" fillId="0" borderId="7" xfId="0" applyFont="1" applyBorder="1" applyAlignment="1" applyProtection="1">
      <alignment vertical="top"/>
      <protection locked="0"/>
    </xf>
    <xf numFmtId="0" fontId="0" fillId="0" borderId="16" xfId="0" applyBorder="1"/>
    <xf numFmtId="0" fontId="0" fillId="0" borderId="6" xfId="0" applyBorder="1"/>
    <xf numFmtId="0" fontId="10" fillId="0" borderId="0" xfId="0" applyFont="1" applyAlignment="1">
      <alignment vertical="top" wrapText="1"/>
    </xf>
    <xf numFmtId="0" fontId="6" fillId="0" borderId="0" xfId="0" applyFont="1" applyAlignment="1">
      <alignment horizontal="left" vertical="top"/>
    </xf>
    <xf numFmtId="0" fontId="10" fillId="0" borderId="6" xfId="0" applyFont="1" applyBorder="1" applyAlignment="1">
      <alignment vertical="top" wrapText="1"/>
    </xf>
    <xf numFmtId="0" fontId="0" fillId="0" borderId="6" xfId="0" applyBorder="1" applyAlignment="1">
      <alignment vertical="top" wrapText="1"/>
    </xf>
    <xf numFmtId="17" fontId="0" fillId="0" borderId="0" xfId="0" applyNumberFormat="1" applyAlignment="1" applyProtection="1">
      <alignment horizontal="left" vertical="top" wrapText="1"/>
      <protection locked="0"/>
    </xf>
    <xf numFmtId="0" fontId="28" fillId="0" borderId="0" xfId="0" applyFont="1" applyAlignment="1">
      <alignment vertical="top"/>
    </xf>
    <xf numFmtId="0" fontId="6" fillId="0" borderId="17" xfId="0" applyFont="1" applyBorder="1" applyAlignment="1">
      <alignment vertical="top"/>
    </xf>
    <xf numFmtId="0" fontId="10" fillId="5" borderId="18" xfId="0" applyFont="1" applyFill="1" applyBorder="1" applyAlignment="1">
      <alignment vertical="top" wrapText="1"/>
    </xf>
    <xf numFmtId="0" fontId="0" fillId="0" borderId="18" xfId="0" applyBorder="1" applyAlignment="1" applyProtection="1">
      <alignment vertical="top" wrapText="1"/>
      <protection locked="0"/>
    </xf>
    <xf numFmtId="0" fontId="10" fillId="5" borderId="19" xfId="0" applyFont="1" applyFill="1" applyBorder="1" applyAlignment="1">
      <alignment vertical="top" wrapText="1"/>
    </xf>
    <xf numFmtId="0" fontId="0" fillId="0" borderId="19" xfId="0" applyBorder="1" applyAlignment="1" applyProtection="1">
      <alignment vertical="top" wrapText="1"/>
      <protection locked="0"/>
    </xf>
    <xf numFmtId="164" fontId="0" fillId="0" borderId="19" xfId="0" applyNumberFormat="1" applyBorder="1" applyAlignment="1" applyProtection="1">
      <alignment vertical="top" wrapText="1"/>
      <protection locked="0"/>
    </xf>
    <xf numFmtId="0" fontId="0" fillId="0" borderId="20" xfId="0" applyBorder="1" applyAlignment="1" applyProtection="1">
      <alignment vertical="top" wrapText="1"/>
      <protection locked="0"/>
    </xf>
    <xf numFmtId="0" fontId="0" fillId="9" borderId="0" xfId="0" applyFill="1" applyAlignment="1">
      <alignment vertical="top"/>
    </xf>
    <xf numFmtId="0" fontId="0" fillId="9" borderId="0" xfId="0" applyFill="1" applyAlignment="1">
      <alignment horizontal="centerContinuous" vertical="top"/>
    </xf>
    <xf numFmtId="0" fontId="0" fillId="9" borderId="0" xfId="0" applyFill="1" applyAlignment="1">
      <alignment horizontal="left" vertical="top"/>
    </xf>
    <xf numFmtId="43" fontId="0" fillId="0" borderId="0" xfId="0" applyNumberFormat="1" applyAlignment="1" applyProtection="1">
      <alignment horizontal="right" vertical="top" wrapText="1"/>
      <protection locked="0"/>
    </xf>
    <xf numFmtId="0" fontId="0" fillId="0" borderId="21" xfId="0" applyBorder="1" applyAlignment="1">
      <alignment vertical="top" wrapText="1"/>
    </xf>
    <xf numFmtId="0" fontId="3" fillId="6" borderId="0" xfId="0" applyFont="1" applyFill="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0" fillId="0" borderId="0" xfId="0" applyAlignment="1" applyProtection="1">
      <alignment horizontal="center" vertical="top"/>
      <protection locked="0"/>
    </xf>
    <xf numFmtId="0" fontId="12" fillId="6" borderId="0" xfId="0" applyFont="1" applyFill="1" applyAlignment="1">
      <alignment horizontal="left"/>
    </xf>
    <xf numFmtId="0" fontId="12" fillId="0" borderId="0" xfId="0" applyFont="1" applyAlignment="1">
      <alignment horizontal="left"/>
    </xf>
    <xf numFmtId="0" fontId="12" fillId="6" borderId="0" xfId="0" applyFont="1" applyFill="1" applyAlignment="1">
      <alignment horizontal="right"/>
    </xf>
    <xf numFmtId="0" fontId="3" fillId="7" borderId="0" xfId="0" applyFont="1" applyFill="1" applyAlignment="1">
      <alignment horizontal="left" vertical="center"/>
    </xf>
    <xf numFmtId="0" fontId="3" fillId="7" borderId="3" xfId="0" applyFont="1" applyFill="1" applyBorder="1" applyAlignment="1">
      <alignment horizontal="left" vertical="center"/>
    </xf>
    <xf numFmtId="0" fontId="3" fillId="7" borderId="4" xfId="0" applyFont="1" applyFill="1" applyBorder="1" applyAlignment="1">
      <alignment horizontal="left" vertical="center"/>
    </xf>
    <xf numFmtId="0" fontId="10" fillId="0" borderId="0" xfId="0" applyFont="1" applyAlignment="1">
      <alignment horizontal="center" vertical="center"/>
    </xf>
    <xf numFmtId="0" fontId="18" fillId="0" borderId="0" xfId="0" applyFont="1" applyAlignment="1">
      <alignment horizontal="center" vertical="center" textRotation="90"/>
    </xf>
    <xf numFmtId="0" fontId="19" fillId="0" borderId="8" xfId="0" applyFont="1" applyBorder="1" applyAlignment="1">
      <alignment horizontal="center" vertical="center"/>
    </xf>
    <xf numFmtId="0" fontId="10" fillId="0" borderId="0" xfId="0" applyFont="1" applyAlignment="1">
      <alignment horizontal="center" vertical="center" textRotation="90"/>
    </xf>
    <xf numFmtId="0" fontId="5" fillId="6" borderId="0" xfId="0" applyFont="1" applyFill="1" applyAlignment="1">
      <alignment vertical="top" wrapText="1"/>
    </xf>
  </cellXfs>
  <cellStyles count="3">
    <cellStyle name="Heading 1" xfId="1" builtinId="16" customBuiltin="1"/>
    <cellStyle name="Heading 2" xfId="2" builtinId="17" customBuiltin="1"/>
    <cellStyle name="Normal" xfId="0" builtinId="0"/>
  </cellStyles>
  <dxfs count="170">
    <dxf>
      <numFmt numFmtId="0" formatCode="General"/>
    </dxf>
    <dxf>
      <numFmt numFmtId="0" formatCode="Genera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ill>
        <patternFill patternType="solid">
          <bgColor theme="3"/>
        </patternFill>
      </fill>
    </dxf>
    <dxf>
      <alignment horizontal="righ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3"/>
        </patternFill>
      </fill>
    </dxf>
    <dxf>
      <fill>
        <patternFill>
          <bgColor theme="3"/>
        </patternFill>
      </fill>
    </dxf>
    <dxf>
      <font>
        <color theme="0"/>
      </font>
    </dxf>
    <dxf>
      <fill>
        <patternFill patternType="solid">
          <bgColor theme="7"/>
        </patternFill>
      </fill>
    </dxf>
    <dxf>
      <font>
        <color theme="0"/>
      </font>
    </dxf>
    <dxf>
      <font>
        <color theme="0"/>
      </font>
    </dxf>
    <dxf>
      <fill>
        <patternFill patternType="solid">
          <bgColor theme="7"/>
        </patternFill>
      </fill>
    </dxf>
    <dxf>
      <fill>
        <patternFill patternType="solid">
          <bgColor theme="7"/>
        </patternFill>
      </fill>
    </dxf>
    <dxf>
      <fill>
        <patternFill>
          <bgColor theme="2" tint="-0.499984740745262"/>
        </patternFill>
      </fill>
    </dxf>
    <dxf>
      <fill>
        <patternFill>
          <bgColor theme="2" tint="-0.499984740745262"/>
        </patternFill>
      </fill>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alignment wrapText="1"/>
    </dxf>
    <dxf>
      <font>
        <strike val="0"/>
        <outline val="0"/>
        <shadow val="0"/>
        <u val="none"/>
        <vertAlign val="baseline"/>
        <sz val="11"/>
        <color theme="0"/>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rgb="FF444444"/>
        <name val="Calibri"/>
        <family val="2"/>
        <scheme val="minor"/>
      </font>
    </dxf>
    <dxf>
      <font>
        <b val="0"/>
        <i val="0"/>
        <strike val="0"/>
        <condense val="0"/>
        <extend val="0"/>
        <outline val="0"/>
        <shadow val="0"/>
        <u val="none"/>
        <vertAlign val="baseline"/>
        <sz val="11"/>
        <color rgb="FF444444"/>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theme="2" tint="-0.499984740745262"/>
        </patternFill>
      </fill>
    </dxf>
    <dxf>
      <font>
        <strike val="0"/>
        <outline val="0"/>
        <shadow val="0"/>
        <u val="none"/>
        <vertAlign val="baseline"/>
        <sz val="11"/>
        <color theme="0"/>
        <name val="Calibri"/>
        <family val="2"/>
        <scheme val="minor"/>
      </font>
      <fill>
        <patternFill patternType="solid">
          <fgColor indexed="64"/>
          <bgColor theme="2" tint="-0.499984740745262"/>
        </patternFill>
      </fill>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2" tint="-0.499984740745262"/>
        </patternFill>
      </fill>
      <alignment horizontal="left" vertical="bottom" textRotation="0" wrapText="0" indent="0" justifyLastLine="0" shrinkToFit="0" readingOrder="0"/>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3" formatCode="#,##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bgColor theme="2" tint="-0.499984740745262"/>
        </patternFill>
      </fill>
    </dxf>
    <dxf>
      <fill>
        <patternFill>
          <bgColor theme="2" tint="-0.499984740745262"/>
        </patternFill>
      </fill>
    </dxf>
    <dxf>
      <fill>
        <patternFill patternType="solid">
          <bgColor rgb="FFFFFF00"/>
        </patternFill>
      </fill>
    </dxf>
    <dxf>
      <fill>
        <patternFill patternType="solid">
          <bgColor rgb="FFFFFF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4" formatCode="#,##0.00"/>
      <fill>
        <patternFill patternType="none">
          <fgColor indexed="64"/>
          <bgColor indexed="65"/>
        </patternFill>
      </fill>
      <alignment horizontal="righ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theme="6" tint="0.39997558519241921"/>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numFmt numFmtId="0" formatCode="General"/>
      <fill>
        <patternFill patternType="none">
          <fgColor indexed="64"/>
          <bgColor indexed="65"/>
        </patternFill>
      </fill>
      <alignment horizontal="left" vertical="top" textRotation="0" wrapText="1" indent="0" justifyLastLine="0" shrinkToFit="0" readingOrder="0"/>
      <protection locked="1"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numFmt numFmtId="0" formatCode="General"/>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ill>
        <patternFill>
          <bgColor theme="1" tint="0.39994506668294322"/>
        </patternFill>
      </fill>
    </dxf>
    <dxf>
      <font>
        <b/>
        <i val="0"/>
        <color rgb="FF444444"/>
      </font>
      <fill>
        <patternFill>
          <bgColor rgb="FF92D050"/>
        </patternFill>
      </fill>
    </dxf>
    <dxf>
      <font>
        <b/>
        <i val="0"/>
        <color rgb="FF444444"/>
      </font>
      <fill>
        <patternFill>
          <bgColor rgb="FFFFC000"/>
        </patternFill>
      </fill>
    </dxf>
    <dxf>
      <font>
        <b/>
        <i val="0"/>
        <color theme="0"/>
      </font>
      <fill>
        <patternFill>
          <bgColor rgb="FFFF0000"/>
        </patternFill>
      </fill>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مقسم ISMS 2" pivot="0" table="0" count="10" xr9:uid="{3FFB1DE4-E006-4679-A759-EEE40E7523CA}">
      <tableStyleElement type="wholeTable" dxfId="169"/>
      <tableStyleElement type="headerRow" dxfId="168"/>
    </tableStyle>
    <tableStyle name="نمط جدول ISMS" pivot="0" count="4" xr9:uid="{DB09D369-C8DC-4F2D-8B79-BD07E6702FD9}">
      <tableStyleElement type="wholeTable" dxfId="167"/>
      <tableStyleElement type="headerRow" dxfId="166"/>
      <tableStyleElement type="firstRowStripe" dxfId="165"/>
      <tableStyleElement type="secondRowStripe" dxfId="164"/>
    </tableStyle>
    <tableStyle name="نمط جدول ISMS 2" pivot="0" count="4" xr9:uid="{9A1B8E80-03E5-4000-8EBF-17CB853EFFC2}">
      <tableStyleElement type="wholeTable" dxfId="163"/>
      <tableStyleElement type="headerRow" dxfId="162"/>
      <tableStyleElement type="firstRowStripe" dxfId="161"/>
      <tableStyleElement type="secondRowStripe" dxfId="160"/>
    </tableStyle>
  </tableStyles>
  <colors>
    <mruColors>
      <color rgb="FFD0EAEB"/>
      <color rgb="FF009BA4"/>
      <color rgb="FFCCC900"/>
      <color rgb="FFDBDC2C"/>
      <color rgb="FF444444"/>
      <color rgb="FFFFFFFF"/>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مقسم ISMS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sheetMetadata" Target="metadata.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5.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theme" Target="theme/theme1.xml"/><Relationship Id="rId35"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Tool.xlsx]Pre-treatment risks!PreTreatmentRisks</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Number of pre-treatment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'Pre-treatment risks'!$C$12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F9-4F13-B066-2CA0F9D1A6D3}"/>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F9-4F13-B066-2CA0F9D1A6D3}"/>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C4F9-4F13-B066-2CA0F9D1A6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'Pre-treatment risks'!$B$13:$B$16</c:f>
              <c:strCache>
                <c:ptCount val="3"/>
                <c:pt idx="0">
                  <c:v> Low</c:v>
                </c:pt>
                <c:pt idx="1">
                  <c:v> Medium</c:v>
                </c:pt>
                <c:pt idx="2">
                  <c:v> High</c:v>
                </c:pt>
              </c:strCache>
            </c:strRef>
          </c:cat>
          <c:val>
            <c:numRef>
              <c:f>'Pre-treatment risks'!$C$13:$C$16</c:f>
              <c:numCache>
                <c:formatCode>General</c:formatCode>
                <c:ptCount val="3"/>
                <c:pt idx="0">
                  <c:v>0</c:v>
                </c:pt>
                <c:pt idx="1">
                  <c:v>0</c:v>
                </c:pt>
                <c:pt idx="2">
                  <c:v>0</c:v>
                </c:pt>
              </c:numCache>
            </c:numRef>
          </c:val>
          <c:extLst>
            <c:ext xmlns:c16="http://schemas.microsoft.com/office/drawing/2014/chart" uri="{C3380CC4-5D6E-409C-BE32-E72D297353CC}">
              <c16:uniqueId val="{00000006-C4F9-4F13-B066-2CA0F9D1A6D3}"/>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Tool.xlsx]Pre-treat risk levels by owner!PreTreatmentRisksByOwner</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Pre-treatment risk levels by risk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2"/>
          </a:solidFill>
          <a:ln>
            <a:noFill/>
          </a:ln>
          <a:effectLst/>
          <a:sp3d/>
        </c:spPr>
      </c:pivotFmt>
      <c:pivotFmt>
        <c:idx val="3"/>
        <c:spPr>
          <a:solidFill>
            <a:schemeClr val="accent3"/>
          </a:solidFill>
          <a:ln>
            <a:noFill/>
          </a:ln>
          <a:effectLst/>
          <a:sp3d/>
        </c:spPr>
      </c:pivotFmt>
      <c:pivotFmt>
        <c:idx val="4"/>
        <c:spPr>
          <a:solidFill>
            <a:schemeClr val="bg2"/>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bg2"/>
          </a:solidFill>
          <a:ln>
            <a:noFill/>
          </a:ln>
          <a:effectLst/>
          <a:sp3d/>
        </c:spP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bg2"/>
          </a:solidFill>
          <a:ln>
            <a:noFill/>
          </a:ln>
          <a:effectLst/>
          <a:sp3d/>
        </c:spP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bg2"/>
          </a:solidFill>
          <a:ln>
            <a:noFill/>
          </a:ln>
          <a:effectLst/>
          <a:sp3d/>
        </c:spPr>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bg2"/>
          </a:solidFill>
          <a:ln>
            <a:noFill/>
          </a:ln>
          <a:effectLst/>
          <a:sp3d/>
        </c:spPr>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bg2"/>
          </a:solidFill>
          <a:ln>
            <a:noFill/>
          </a:ln>
          <a:effectLst/>
          <a:sp3d/>
        </c:spPr>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bg2"/>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pivotFmt>
      <c:pivotFmt>
        <c:idx val="66"/>
        <c:spPr>
          <a:solidFill>
            <a:schemeClr val="accent1"/>
          </a:solidFill>
          <a:ln>
            <a:noFill/>
          </a:ln>
          <a:effectLst/>
          <a:sp3d/>
        </c:spPr>
      </c:pivotFmt>
      <c:pivotFmt>
        <c:idx val="67"/>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'Pre-treat risk levels by owner'!$D$6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B3B-4BBF-B885-B1713D797CCC}"/>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9B3B-4BBF-B885-B1713D797CCC}"/>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9B3B-4BBF-B885-B1713D797CCC}"/>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9B3B-4BBF-B885-B1713D797CCC}"/>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9B3B-4BBF-B885-B1713D797CCC}"/>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9B3B-4BBF-B885-B1713D797CCC}"/>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9B3B-4BBF-B885-B1713D797CCC}"/>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9B3B-4BBF-B885-B1713D797CCC}"/>
              </c:ext>
            </c:extLst>
          </c:dPt>
          <c:cat>
            <c:multiLvlStrRef>
              <c:f>'Pre-treat risk levels by owner'!$B$7:$C$7</c:f>
              <c:multiLvlStrCache>
                <c:ptCount val="1"/>
                <c:lvl>
                  <c:pt idx="0">
                    <c:v>(blank)</c:v>
                  </c:pt>
                </c:lvl>
                <c:lvl>
                  <c:pt idx="0">
                    <c:v>Calculated</c:v>
                  </c:pt>
                </c:lvl>
              </c:multiLvlStrCache>
            </c:multiLvlStrRef>
          </c:cat>
          <c:val>
            <c:numRef>
              <c:f>'Pre-treat risk levels by owner'!$D$7</c:f>
              <c:numCache>
                <c:formatCode>General</c:formatCode>
                <c:ptCount val="1"/>
                <c:pt idx="0">
                  <c:v>20</c:v>
                </c:pt>
              </c:numCache>
            </c:numRef>
          </c:val>
          <c:extLst>
            <c:ext xmlns:c16="http://schemas.microsoft.com/office/drawing/2014/chart" uri="{C3380CC4-5D6E-409C-BE32-E72D297353CC}">
              <c16:uniqueId val="{00000010-9B3B-4BBF-B885-B1713D797CCC}"/>
            </c:ext>
          </c:extLst>
        </c:ser>
        <c:dLbls>
          <c:showLegendKey val="0"/>
          <c:showVal val="0"/>
          <c:showCatName val="0"/>
          <c:showSerName val="0"/>
          <c:showPercent val="0"/>
          <c:showBubbleSize val="0"/>
        </c:dLbls>
        <c:gapWidth val="150"/>
        <c:shape val="box"/>
        <c:axId val="1162753848"/>
        <c:axId val="1162751552"/>
        <c:axId val="0"/>
      </c:bar3DChart>
      <c:catAx>
        <c:axId val="1162753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751552"/>
        <c:crosses val="autoZero"/>
        <c:auto val="1"/>
        <c:lblAlgn val="ctr"/>
        <c:lblOffset val="100"/>
        <c:noMultiLvlLbl val="0"/>
      </c:catAx>
      <c:valAx>
        <c:axId val="116275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2753848"/>
        <c:crosses val="autoZero"/>
        <c:crossBetween val="between"/>
        <c:majorUnit val="5"/>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Tool.xlsx]Post-treatment risks!PostTreatmentRisks</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Number of post-treatment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'Post-treatment risks'!$C$12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CC-4558-9D96-E542BB06682D}"/>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CC-4558-9D96-E542BB06682D}"/>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CC-4558-9D96-E542BB0668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'Post-treatment risks'!$B$13:$B$16</c:f>
              <c:strCache>
                <c:ptCount val="3"/>
                <c:pt idx="0">
                  <c:v> Low</c:v>
                </c:pt>
                <c:pt idx="1">
                  <c:v> Medium</c:v>
                </c:pt>
                <c:pt idx="2">
                  <c:v> High</c:v>
                </c:pt>
              </c:strCache>
            </c:strRef>
          </c:cat>
          <c:val>
            <c:numRef>
              <c:f>'Post-treatment risks'!$C$13:$C$16</c:f>
              <c:numCache>
                <c:formatCode>General</c:formatCode>
                <c:ptCount val="3"/>
                <c:pt idx="0">
                  <c:v>0</c:v>
                </c:pt>
                <c:pt idx="1">
                  <c:v>0</c:v>
                </c:pt>
                <c:pt idx="2">
                  <c:v>0</c:v>
                </c:pt>
              </c:numCache>
            </c:numRef>
          </c:val>
          <c:extLst>
            <c:ext xmlns:c16="http://schemas.microsoft.com/office/drawing/2014/chart" uri="{C3380CC4-5D6E-409C-BE32-E72D297353CC}">
              <c16:uniqueId val="{00000006-07CC-4558-9D96-E542BB06682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Tool.xlsx]Risks by risk level pre &amp; post!RisksByRiskLevelPre&amp;PostTreatment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Number of risks by risk level pre and post treatment</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pivotFmt>
      <c:pivotFmt>
        <c:idx val="3"/>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'Risks by risk level pre &amp; post'!$C$12</c:f>
              <c:strCache>
                <c:ptCount val="1"/>
                <c:pt idx="0">
                  <c:v>Pre-treatment </c:v>
                </c:pt>
              </c:strCache>
            </c:strRef>
          </c:tx>
          <c:spPr>
            <a:solidFill>
              <a:schemeClr val="bg2">
                <a:lumMod val="50000"/>
              </a:schemeClr>
            </a:solidFill>
            <a:ln>
              <a:noFill/>
            </a:ln>
            <a:effectLst/>
            <a:sp3d/>
          </c:spPr>
          <c:invertIfNegative val="0"/>
          <c:cat>
            <c:strRef>
              <c:f>'Risks by risk level pre &amp; post'!$B$13:$B$16</c:f>
              <c:strCache>
                <c:ptCount val="3"/>
                <c:pt idx="0">
                  <c:v> Low</c:v>
                </c:pt>
                <c:pt idx="1">
                  <c:v> Medium</c:v>
                </c:pt>
                <c:pt idx="2">
                  <c:v> High</c:v>
                </c:pt>
              </c:strCache>
            </c:strRef>
          </c:cat>
          <c:val>
            <c:numRef>
              <c:f>'Risks by risk level pre &amp; post'!$C$13:$C$16</c:f>
              <c:numCache>
                <c:formatCode>General</c:formatCode>
                <c:ptCount val="3"/>
                <c:pt idx="0">
                  <c:v>0</c:v>
                </c:pt>
                <c:pt idx="1">
                  <c:v>0</c:v>
                </c:pt>
                <c:pt idx="2">
                  <c:v>0</c:v>
                </c:pt>
              </c:numCache>
            </c:numRef>
          </c:val>
          <c:extLst>
            <c:ext xmlns:c16="http://schemas.microsoft.com/office/drawing/2014/chart" uri="{C3380CC4-5D6E-409C-BE32-E72D297353CC}">
              <c16:uniqueId val="{00000000-81E7-406C-9C68-227E5E19888B}"/>
            </c:ext>
          </c:extLst>
        </c:ser>
        <c:ser>
          <c:idx val="1"/>
          <c:order val="1"/>
          <c:tx>
            <c:strRef>
              <c:f>'Risks by risk level pre &amp; post'!$D$12</c:f>
              <c:strCache>
                <c:ptCount val="1"/>
                <c:pt idx="0">
                  <c:v>Post-treatment </c:v>
                </c:pt>
              </c:strCache>
            </c:strRef>
          </c:tx>
          <c:spPr>
            <a:solidFill>
              <a:schemeClr val="bg2">
                <a:lumMod val="90000"/>
              </a:schemeClr>
            </a:solidFill>
            <a:ln>
              <a:noFill/>
            </a:ln>
            <a:effectLst/>
            <a:sp3d/>
          </c:spPr>
          <c:invertIfNegative val="0"/>
          <c:cat>
            <c:strRef>
              <c:f>'Risks by risk level pre &amp; post'!$B$13:$B$16</c:f>
              <c:strCache>
                <c:ptCount val="3"/>
                <c:pt idx="0">
                  <c:v> Low</c:v>
                </c:pt>
                <c:pt idx="1">
                  <c:v> Medium</c:v>
                </c:pt>
                <c:pt idx="2">
                  <c:v> High</c:v>
                </c:pt>
              </c:strCache>
            </c:strRef>
          </c:cat>
          <c:val>
            <c:numRef>
              <c:f>'Risks by risk level pre &amp; post'!$D$13:$D$16</c:f>
              <c:numCache>
                <c:formatCode>General</c:formatCode>
                <c:ptCount val="3"/>
                <c:pt idx="0">
                  <c:v>0</c:v>
                </c:pt>
                <c:pt idx="1">
                  <c:v>0</c:v>
                </c:pt>
                <c:pt idx="2">
                  <c:v>0</c:v>
                </c:pt>
              </c:numCache>
            </c:numRef>
          </c:val>
          <c:extLst>
            <c:ext xmlns:c16="http://schemas.microsoft.com/office/drawing/2014/chart" uri="{C3380CC4-5D6E-409C-BE32-E72D297353CC}">
              <c16:uniqueId val="{00000001-81E7-406C-9C68-227E5E19888B}"/>
            </c:ext>
          </c:extLst>
        </c:ser>
        <c:dLbls>
          <c:showLegendKey val="0"/>
          <c:showVal val="0"/>
          <c:showCatName val="0"/>
          <c:showSerName val="0"/>
          <c:showPercent val="0"/>
          <c:showBubbleSize val="0"/>
        </c:dLbls>
        <c:gapWidth val="150"/>
        <c:shape val="box"/>
        <c:axId val="557795048"/>
        <c:axId val="557795376"/>
        <c:axId val="0"/>
      </c:bar3DChart>
      <c:catAx>
        <c:axId val="557795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95376"/>
        <c:crosses val="autoZero"/>
        <c:auto val="1"/>
        <c:lblAlgn val="ctr"/>
        <c:lblOffset val="100"/>
        <c:noMultiLvlLbl val="0"/>
      </c:catAx>
      <c:valAx>
        <c:axId val="55779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95048"/>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Tool.xlsx]Treatment option chosen!RisksByTreatmentOption</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Risks by treatment option chosen</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4"/>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5"/>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'Treatment option chosen'!$C$6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927-4286-A7D8-E8EEF576F2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927-4286-A7D8-E8EEF576F2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927-4286-A7D8-E8EEF576F2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'Treatment option chosen'!$B$7:$B$10</c:f>
              <c:strCache>
                <c:ptCount val="1"/>
                <c:pt idx="0">
                  <c:v>Select…</c:v>
                </c:pt>
              </c:strCache>
            </c:strRef>
          </c:cat>
          <c:val>
            <c:numRef>
              <c:f>'Treatment option chosen'!$C$7:$C$10</c:f>
              <c:numCache>
                <c:formatCode>General</c:formatCode>
                <c:ptCount val="0"/>
              </c:numCache>
            </c:numRef>
          </c:val>
          <c:extLst>
            <c:ext xmlns:c16="http://schemas.microsoft.com/office/drawing/2014/chart" uri="{C3380CC4-5D6E-409C-BE32-E72D297353CC}">
              <c16:uniqueId val="{00000000-20BC-44FA-AA10-AF21B55D67A3}"/>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Tool.xlsx]Treatment cost !TreatmentCosts</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Total treatment cost by risk level</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pivotFmt>
      <c:pivotFmt>
        <c:idx val="4"/>
        <c:spPr>
          <a:solidFill>
            <a:srgbClr val="FF0000"/>
          </a:solidFill>
          <a:ln>
            <a:noFill/>
          </a:ln>
          <a:effectLst/>
          <a:sp3d/>
        </c:spPr>
      </c:pivotFmt>
      <c:pivotFmt>
        <c:idx val="5"/>
        <c:spPr>
          <a:solidFill>
            <a:srgbClr val="92D050"/>
          </a:solidFill>
          <a:ln>
            <a:noFill/>
          </a:ln>
          <a:effectLst/>
          <a:sp3d/>
        </c:spPr>
      </c:pivotFmt>
      <c:pivotFmt>
        <c:idx val="6"/>
        <c:spPr>
          <a:solidFill>
            <a:srgbClr val="FF0000"/>
          </a:solidFill>
          <a:ln>
            <a:noFill/>
          </a:ln>
          <a:effectLst/>
          <a:sp3d/>
        </c:spPr>
      </c:pivotFmt>
      <c:pivotFmt>
        <c:idx val="7"/>
        <c:spPr>
          <a:solidFill>
            <a:srgbClr val="92D05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'Treatment cost '!$C$6</c:f>
              <c:strCache>
                <c:ptCount val="1"/>
                <c:pt idx="0">
                  <c:v>Total</c:v>
                </c:pt>
              </c:strCache>
            </c:strRef>
          </c:tx>
          <c:spPr>
            <a:solidFill>
              <a:srgbClr val="FFC000"/>
            </a:solidFill>
            <a:ln>
              <a:noFill/>
            </a:ln>
            <a:effectLst/>
            <a:sp3d/>
          </c:spPr>
          <c:invertIfNegative val="0"/>
          <c:dPt>
            <c:idx val="0"/>
            <c:invertIfNegative val="0"/>
            <c:bubble3D val="0"/>
            <c:extLst>
              <c:ext xmlns:c16="http://schemas.microsoft.com/office/drawing/2014/chart" uri="{C3380CC4-5D6E-409C-BE32-E72D297353CC}">
                <c16:uniqueId val="{00000003-2DE5-4448-83E5-A4A7C3DBC3E1}"/>
              </c:ext>
            </c:extLst>
          </c:dPt>
          <c:dPt>
            <c:idx val="1"/>
            <c:invertIfNegative val="0"/>
            <c:bubble3D val="0"/>
            <c:extLst>
              <c:ext xmlns:c16="http://schemas.microsoft.com/office/drawing/2014/chart" uri="{C3380CC4-5D6E-409C-BE32-E72D297353CC}">
                <c16:uniqueId val="{00000001-2DE5-4448-83E5-A4A7C3DBC3E1}"/>
              </c:ext>
            </c:extLst>
          </c:dPt>
          <c:dPt>
            <c:idx val="2"/>
            <c:invertIfNegative val="0"/>
            <c:bubble3D val="0"/>
            <c:extLst>
              <c:ext xmlns:c16="http://schemas.microsoft.com/office/drawing/2014/chart" uri="{C3380CC4-5D6E-409C-BE32-E72D297353CC}">
                <c16:uniqueId val="{00000002-2DE5-4448-83E5-A4A7C3DBC3E1}"/>
              </c:ext>
            </c:extLst>
          </c:dPt>
          <c:cat>
            <c:strRef>
              <c:f>'Treatment cost '!$B$7:$B$10</c:f>
              <c:strCache>
                <c:ptCount val="1"/>
                <c:pt idx="0">
                  <c:v>Calculated</c:v>
                </c:pt>
              </c:strCache>
            </c:strRef>
          </c:cat>
          <c:val>
            <c:numRef>
              <c:f>'Treatment cost '!$C$7:$C$10</c:f>
              <c:numCache>
                <c:formatCode>#,##0</c:formatCode>
                <c:ptCount val="1"/>
                <c:pt idx="0">
                  <c:v>0</c:v>
                </c:pt>
              </c:numCache>
            </c:numRef>
          </c:val>
          <c:extLst>
            <c:ext xmlns:c16="http://schemas.microsoft.com/office/drawing/2014/chart" uri="{C3380CC4-5D6E-409C-BE32-E72D297353CC}">
              <c16:uniqueId val="{00000000-2DE5-4448-83E5-A4A7C3DBC3E1}"/>
            </c:ext>
          </c:extLst>
        </c:ser>
        <c:dLbls>
          <c:showLegendKey val="0"/>
          <c:showVal val="0"/>
          <c:showCatName val="0"/>
          <c:showSerName val="0"/>
          <c:showPercent val="0"/>
          <c:showBubbleSize val="0"/>
        </c:dLbls>
        <c:gapWidth val="150"/>
        <c:shape val="box"/>
        <c:axId val="1275265464"/>
        <c:axId val="1275260544"/>
        <c:axId val="0"/>
      </c:bar3DChart>
      <c:catAx>
        <c:axId val="1275265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260544"/>
        <c:crosses val="autoZero"/>
        <c:auto val="1"/>
        <c:lblAlgn val="ctr"/>
        <c:lblOffset val="100"/>
        <c:noMultiLvlLbl val="0"/>
      </c:catAx>
      <c:valAx>
        <c:axId val="1275260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5265464"/>
        <c:crosses val="autoZero"/>
        <c:crossBetween val="between"/>
      </c:valAx>
      <c:dTable>
        <c:showHorzBorder val="0"/>
        <c:showVertBorder val="1"/>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[ISMS-FORM-06-1 Asset-Based Risk Tool.xlsx]Treatment action owner !TreatmentActionOwner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Treatment action owner </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'Treatment action owner '!$C$6:$C$7</c:f>
              <c:strCache>
                <c:ptCount val="1"/>
                <c:pt idx="0">
                  <c:v>Calculated</c:v>
                </c:pt>
              </c:strCache>
            </c:strRef>
          </c:tx>
          <c:spPr>
            <a:solidFill>
              <a:schemeClr val="accent1"/>
            </a:solidFill>
            <a:ln>
              <a:noFill/>
            </a:ln>
            <a:effectLst/>
            <a:sp3d/>
          </c:spPr>
          <c:invertIfNegative val="0"/>
          <c:cat>
            <c:strRef>
              <c:f>'Treatment action owner '!$B$8</c:f>
              <c:strCache>
                <c:ptCount val="1"/>
                <c:pt idx="0">
                  <c:v>(blank)</c:v>
                </c:pt>
              </c:strCache>
            </c:strRef>
          </c:cat>
          <c:val>
            <c:numRef>
              <c:f>'Treatment action owner '!$C$8</c:f>
              <c:numCache>
                <c:formatCode>General</c:formatCode>
                <c:ptCount val="1"/>
              </c:numCache>
            </c:numRef>
          </c:val>
          <c:extLst>
            <c:ext xmlns:c16="http://schemas.microsoft.com/office/drawing/2014/chart" uri="{C3380CC4-5D6E-409C-BE32-E72D297353CC}">
              <c16:uniqueId val="{00000000-BDA9-4BEA-BC20-D8A3080FFCF0}"/>
            </c:ext>
          </c:extLst>
        </c:ser>
        <c:dLbls>
          <c:showLegendKey val="0"/>
          <c:showVal val="0"/>
          <c:showCatName val="0"/>
          <c:showSerName val="0"/>
          <c:showPercent val="0"/>
          <c:showBubbleSize val="0"/>
        </c:dLbls>
        <c:gapWidth val="150"/>
        <c:shape val="box"/>
        <c:axId val="1242980056"/>
        <c:axId val="1242986944"/>
        <c:axId val="0"/>
      </c:bar3DChart>
      <c:catAx>
        <c:axId val="1242980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6944"/>
        <c:crosses val="autoZero"/>
        <c:auto val="1"/>
        <c:lblAlgn val="ctr"/>
        <c:lblOffset val="100"/>
        <c:noMultiLvlLbl val="0"/>
      </c:catAx>
      <c:valAx>
        <c:axId val="124298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0056"/>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absolute">
    <xdr:from>
      <xdr:col>1</xdr:col>
      <xdr:colOff>3048000</xdr:colOff>
      <xdr:row>0</xdr:row>
      <xdr:rowOff>121920</xdr:rowOff>
    </xdr:from>
    <xdr:to>
      <xdr:col>2</xdr:col>
      <xdr:colOff>83820</xdr:colOff>
      <xdr:row>5</xdr:row>
      <xdr:rowOff>68580</xdr:rowOff>
    </xdr:to>
    <xdr:sp macro="" textlink="">
      <xdr:nvSpPr>
        <xdr:cNvPr id="2" name="TextBox 1">
          <a:extLst>
            <a:ext uri="{FF2B5EF4-FFF2-40B4-BE49-F238E27FC236}">
              <a16:creationId xmlns:a16="http://schemas.microsoft.com/office/drawing/2014/main" id="{40F892C1-B74E-4C25-9A7D-C56581B4B9AA}"/>
            </a:ext>
          </a:extLst>
        </xdr:cNvPr>
        <xdr:cNvSpPr txBox="1"/>
      </xdr:nvSpPr>
      <xdr:spPr>
        <a:xfrm>
          <a:off x="3238500" y="123825"/>
          <a:ext cx="324802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Asset-Based Risk</a:t>
          </a:r>
          <a:r>
            <a:rPr lang="en-GB" sz="1800" b="1" baseline="0">
              <a:solidFill>
                <a:schemeClr val="tx1"/>
              </a:solidFill>
            </a:rPr>
            <a:t> Assessment and Treatment Tool</a:t>
          </a:r>
          <a:endParaRPr lang="en-GB" sz="1800" b="1">
            <a:solidFill>
              <a:schemeClr val="tx1"/>
            </a:solidFill>
          </a:endParaRPr>
        </a:p>
        <a:p>
          <a:pPr algn="r"/>
          <a:r>
            <a:rPr lang="en-GB" sz="1200" b="0">
              <a:solidFill>
                <a:schemeClr val="tx1"/>
              </a:solidFill>
              <a:latin typeface="+mn-lt"/>
            </a:rPr>
            <a:t>ISMS-FORM-06-1</a:t>
          </a:r>
        </a:p>
      </xdr:txBody>
    </xdr:sp>
    <xdr:clientData/>
  </xdr:twoCellAnchor>
  <xdr:twoCellAnchor editAs="oneCell">
    <xdr:from>
      <xdr:col>1</xdr:col>
      <xdr:colOff>1</xdr:colOff>
      <xdr:row>1</xdr:row>
      <xdr:rowOff>0</xdr:rowOff>
    </xdr:from>
    <xdr:to>
      <xdr:col>1</xdr:col>
      <xdr:colOff>2959969</xdr:colOff>
      <xdr:row>5</xdr:row>
      <xdr:rowOff>7620</xdr:rowOff>
    </xdr:to>
    <xdr:pic>
      <xdr:nvPicPr>
        <xdr:cNvPr id="3" name="Picture 2">
          <a:extLst>
            <a:ext uri="{FF2B5EF4-FFF2-40B4-BE49-F238E27FC236}">
              <a16:creationId xmlns:a16="http://schemas.microsoft.com/office/drawing/2014/main" id="{EE4CA222-6589-4073-BC94-4C2420FB99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3581400</xdr:colOff>
      <xdr:row>0</xdr:row>
      <xdr:rowOff>190499</xdr:rowOff>
    </xdr:from>
    <xdr:to>
      <xdr:col>3</xdr:col>
      <xdr:colOff>76200</xdr:colOff>
      <xdr:row>7</xdr:row>
      <xdr:rowOff>66674</xdr:rowOff>
    </xdr:to>
    <xdr:sp macro="" textlink="">
      <xdr:nvSpPr>
        <xdr:cNvPr id="2" name="TextBox 1">
          <a:extLst>
            <a:ext uri="{FF2B5EF4-FFF2-40B4-BE49-F238E27FC236}">
              <a16:creationId xmlns:a16="http://schemas.microsoft.com/office/drawing/2014/main" id="{B16912E5-8F30-46E0-95B6-EAB6D64A3E19}"/>
            </a:ext>
          </a:extLst>
        </xdr:cNvPr>
        <xdr:cNvSpPr txBox="1"/>
      </xdr:nvSpPr>
      <xdr:spPr>
        <a:xfrm>
          <a:off x="5438775" y="190499"/>
          <a:ext cx="2076450" cy="1209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Asset-Based Risk</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800" b="1" i="0" u="none" strike="noStrike" kern="0" cap="none" spc="0" normalizeH="0" baseline="0" noProof="0">
              <a:ln>
                <a:noFill/>
              </a:ln>
              <a:solidFill>
                <a:srgbClr val="444444"/>
              </a:solidFill>
              <a:effectLst/>
              <a:uLnTx/>
              <a:uFillTx/>
              <a:latin typeface="+mn-lt"/>
              <a:ea typeface="+mn-ea"/>
              <a:cs typeface="+mn-cs"/>
            </a:rPr>
            <a:t>Assessment and</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800" b="1" i="0" u="none" strike="noStrike" kern="0" cap="none" spc="0" normalizeH="0" baseline="0" noProof="0">
              <a:ln>
                <a:noFill/>
              </a:ln>
              <a:solidFill>
                <a:srgbClr val="444444"/>
              </a:solidFill>
              <a:effectLst/>
              <a:uLnTx/>
              <a:uFillTx/>
              <a:latin typeface="+mn-lt"/>
              <a:ea typeface="+mn-ea"/>
              <a:cs typeface="+mn-cs"/>
            </a:rPr>
            <a:t>Treatment Tool</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444444"/>
              </a:solidFill>
              <a:effectLst/>
              <a:uLnTx/>
              <a:uFillTx/>
              <a:latin typeface="+mn-lt"/>
              <a:ea typeface="+mn-ea"/>
              <a:cs typeface="+mn-cs"/>
            </a:rPr>
            <a:t>ISMS-FORM-06-1</a:t>
          </a:r>
        </a:p>
      </xdr:txBody>
    </xdr:sp>
    <xdr:clientData/>
  </xdr:twoCellAnchor>
  <xdr:twoCellAnchor editAs="oneCell">
    <xdr:from>
      <xdr:col>1</xdr:col>
      <xdr:colOff>0</xdr:colOff>
      <xdr:row>1</xdr:row>
      <xdr:rowOff>0</xdr:rowOff>
    </xdr:from>
    <xdr:to>
      <xdr:col>2</xdr:col>
      <xdr:colOff>860900</xdr:colOff>
      <xdr:row>6</xdr:row>
      <xdr:rowOff>5490</xdr:rowOff>
    </xdr:to>
    <xdr:pic>
      <xdr:nvPicPr>
        <xdr:cNvPr id="3" name="Picture 2" descr="Auto Replace">
          <a:extLst>
            <a:ext uri="{FF2B5EF4-FFF2-40B4-BE49-F238E27FC236}">
              <a16:creationId xmlns:a16="http://schemas.microsoft.com/office/drawing/2014/main" id="{97B07E54-6F74-43AE-9E4B-7FD5769ACE1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619125</xdr:colOff>
      <xdr:row>1</xdr:row>
      <xdr:rowOff>0</xdr:rowOff>
    </xdr:from>
    <xdr:to>
      <xdr:col>22</xdr:col>
      <xdr:colOff>342900</xdr:colOff>
      <xdr:row>10</xdr:row>
      <xdr:rowOff>133350</xdr:rowOff>
    </xdr:to>
    <xdr:grpSp>
      <xdr:nvGrpSpPr>
        <xdr:cNvPr id="2" name="Group 1">
          <a:extLst>
            <a:ext uri="{FF2B5EF4-FFF2-40B4-BE49-F238E27FC236}">
              <a16:creationId xmlns:a16="http://schemas.microsoft.com/office/drawing/2014/main" id="{8213393A-3847-464E-99C8-4BF709795B4D}"/>
            </a:ext>
          </a:extLst>
        </xdr:cNvPr>
        <xdr:cNvGrpSpPr/>
      </xdr:nvGrpSpPr>
      <xdr:grpSpPr>
        <a:xfrm>
          <a:off x="9620250" y="190500"/>
          <a:ext cx="10972800" cy="1924050"/>
          <a:chOff x="6448425" y="190500"/>
          <a:chExt cx="10972800" cy="1809750"/>
        </a:xfrm>
      </xdr:grpSpPr>
      <mc:AlternateContent xmlns:mc="http://schemas.openxmlformats.org/markup-compatibility/2006" xmlns:sle15="http://schemas.microsoft.com/office/drawing/2012/slicer">
        <mc:Choice Requires="sle15">
          <xdr:graphicFrame macro="">
            <xdr:nvGraphicFramePr>
              <xdr:cNvPr id="3" name="Risk Owner">
                <a:extLst>
                  <a:ext uri="{FF2B5EF4-FFF2-40B4-BE49-F238E27FC236}">
                    <a16:creationId xmlns:a16="http://schemas.microsoft.com/office/drawing/2014/main" id="{00000000-0008-0000-0200-000003000000}"/>
                  </a:ext>
                </a:extLst>
              </xdr:cNvPr>
              <xdr:cNvGraphicFramePr>
                <a:graphicFrameLocks noChangeAspect="1"/>
              </xdr:cNvGraphicFramePr>
            </xdr:nvGraphicFramePr>
            <xdr:xfrm>
              <a:off x="6448425" y="190500"/>
              <a:ext cx="1828800" cy="1803400"/>
            </xdr:xfrm>
            <a:graphic>
              <a:graphicData uri="http://schemas.microsoft.com/office/drawing/2010/slicer">
                <sle:slicer xmlns:sle="http://schemas.microsoft.com/office/drawing/2010/slicer" name="Risk Owner"/>
              </a:graphicData>
            </a:graphic>
          </xdr:graphicFrame>
        </mc:Choice>
        <mc:Fallback xmlns="">
          <xdr:sp macro="" textlink="">
            <xdr:nvSpPr>
              <xdr:cNvPr id="0" name=""/>
              <xdr:cNvSpPr>
                <a:spLocks noTextEdit="1"/>
              </xdr:cNvSpPr>
            </xdr:nvSpPr>
            <xdr:spPr>
              <a:xfrm>
                <a:off x="9620250" y="190500"/>
                <a:ext cx="1828800" cy="172746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Risk level">
                <a:extLst>
                  <a:ext uri="{FF2B5EF4-FFF2-40B4-BE49-F238E27FC236}">
                    <a16:creationId xmlns:a16="http://schemas.microsoft.com/office/drawing/2014/main" id="{00000000-0008-0000-0200-000004000000}"/>
                  </a:ext>
                </a:extLst>
              </xdr:cNvPr>
              <xdr:cNvGraphicFramePr>
                <a:graphicFrameLocks noChangeAspect="1"/>
              </xdr:cNvGraphicFramePr>
            </xdr:nvGraphicFramePr>
            <xdr:xfrm>
              <a:off x="8277225" y="190500"/>
              <a:ext cx="1828800" cy="1803400"/>
            </xdr:xfrm>
            <a:graphic>
              <a:graphicData uri="http://schemas.microsoft.com/office/drawing/2010/slicer">
                <sle:slicer xmlns:sle="http://schemas.microsoft.com/office/drawing/2010/slicer" name="Risk level"/>
              </a:graphicData>
            </a:graphic>
          </xdr:graphicFrame>
        </mc:Choice>
        <mc:Fallback xmlns="">
          <xdr:sp macro="" textlink="">
            <xdr:nvSpPr>
              <xdr:cNvPr id="0" name=""/>
              <xdr:cNvSpPr>
                <a:spLocks noTextEdit="1"/>
              </xdr:cNvSpPr>
            </xdr:nvSpPr>
            <xdr:spPr>
              <a:xfrm>
                <a:off x="11449050" y="190500"/>
                <a:ext cx="1828800" cy="172746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4" name="Post-Treatment Risk Level">
                <a:extLst>
                  <a:ext uri="{FF2B5EF4-FFF2-40B4-BE49-F238E27FC236}">
                    <a16:creationId xmlns:a16="http://schemas.microsoft.com/office/drawing/2014/main" id="{00000000-0008-0000-0200-00000E000000}"/>
                  </a:ext>
                </a:extLst>
              </xdr:cNvPr>
              <xdr:cNvGraphicFramePr/>
            </xdr:nvGraphicFramePr>
            <xdr:xfrm>
              <a:off x="15592425" y="190500"/>
              <a:ext cx="1828800" cy="1803400"/>
            </xdr:xfrm>
            <a:graphic>
              <a:graphicData uri="http://schemas.microsoft.com/office/drawing/2010/slicer">
                <sle:slicer xmlns:sle="http://schemas.microsoft.com/office/drawing/2010/slicer" name="Post-Treatment Risk Level"/>
              </a:graphicData>
            </a:graphic>
          </xdr:graphicFrame>
        </mc:Choice>
        <mc:Fallback xmlns="">
          <xdr:sp macro="" textlink="">
            <xdr:nvSpPr>
              <xdr:cNvPr id="0" name=""/>
              <xdr:cNvSpPr>
                <a:spLocks noTextEdit="1"/>
              </xdr:cNvSpPr>
            </xdr:nvSpPr>
            <xdr:spPr>
              <a:xfrm>
                <a:off x="18764250" y="190500"/>
                <a:ext cx="1828800" cy="172746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6" name="Treatment Action Owner 1">
                <a:extLst>
                  <a:ext uri="{FF2B5EF4-FFF2-40B4-BE49-F238E27FC236}">
                    <a16:creationId xmlns:a16="http://schemas.microsoft.com/office/drawing/2014/main" id="{00000000-0008-0000-0200-000010000000}"/>
                  </a:ext>
                </a:extLst>
              </xdr:cNvPr>
              <xdr:cNvGraphicFramePr/>
            </xdr:nvGraphicFramePr>
            <xdr:xfrm>
              <a:off x="11934825" y="190500"/>
              <a:ext cx="1828800" cy="1800226"/>
            </xdr:xfrm>
            <a:graphic>
              <a:graphicData uri="http://schemas.microsoft.com/office/drawing/2010/slicer">
                <sle:slicer xmlns:sle="http://schemas.microsoft.com/office/drawing/2010/slicer" name="Treatment Action Owner 1"/>
              </a:graphicData>
            </a:graphic>
          </xdr:graphicFrame>
        </mc:Choice>
        <mc:Fallback xmlns="">
          <xdr:sp macro="" textlink="">
            <xdr:nvSpPr>
              <xdr:cNvPr id="0" name=""/>
              <xdr:cNvSpPr>
                <a:spLocks noTextEdit="1"/>
              </xdr:cNvSpPr>
            </xdr:nvSpPr>
            <xdr:spPr>
              <a:xfrm>
                <a:off x="15106650" y="190500"/>
                <a:ext cx="1828800" cy="172442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17" name="Treatment Action Status 1">
                <a:extLst>
                  <a:ext uri="{FF2B5EF4-FFF2-40B4-BE49-F238E27FC236}">
                    <a16:creationId xmlns:a16="http://schemas.microsoft.com/office/drawing/2014/main" id="{00000000-0008-0000-0200-000011000000}"/>
                  </a:ext>
                </a:extLst>
              </xdr:cNvPr>
              <xdr:cNvGraphicFramePr/>
            </xdr:nvGraphicFramePr>
            <xdr:xfrm>
              <a:off x="13763625" y="190500"/>
              <a:ext cx="1828800" cy="1800226"/>
            </xdr:xfrm>
            <a:graphic>
              <a:graphicData uri="http://schemas.microsoft.com/office/drawing/2010/slicer">
                <sle:slicer xmlns:sle="http://schemas.microsoft.com/office/drawing/2010/slicer" name="Treatment Action Status 1"/>
              </a:graphicData>
            </a:graphic>
          </xdr:graphicFrame>
        </mc:Choice>
        <mc:Fallback xmlns="">
          <xdr:sp macro="" textlink="">
            <xdr:nvSpPr>
              <xdr:cNvPr id="0" name=""/>
              <xdr:cNvSpPr>
                <a:spLocks noTextEdit="1"/>
              </xdr:cNvSpPr>
            </xdr:nvSpPr>
            <xdr:spPr>
              <a:xfrm>
                <a:off x="16935450" y="190500"/>
                <a:ext cx="1828800" cy="172442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20" name="Treatment option chosen 2">
                <a:extLst>
                  <a:ext uri="{FF2B5EF4-FFF2-40B4-BE49-F238E27FC236}">
                    <a16:creationId xmlns:a16="http://schemas.microsoft.com/office/drawing/2014/main" id="{00000000-0008-0000-0200-000014000000}"/>
                  </a:ext>
                </a:extLst>
              </xdr:cNvPr>
              <xdr:cNvGraphicFramePr/>
            </xdr:nvGraphicFramePr>
            <xdr:xfrm>
              <a:off x="10106025" y="190500"/>
              <a:ext cx="1828800" cy="1809750"/>
            </xdr:xfrm>
            <a:graphic>
              <a:graphicData uri="http://schemas.microsoft.com/office/drawing/2010/slicer">
                <sle:slicer xmlns:sle="http://schemas.microsoft.com/office/drawing/2010/slicer" name="Treatment option chosen 2"/>
              </a:graphicData>
            </a:graphic>
          </xdr:graphicFrame>
        </mc:Choice>
        <mc:Fallback xmlns="">
          <xdr:sp macro="" textlink="">
            <xdr:nvSpPr>
              <xdr:cNvPr id="0" name=""/>
              <xdr:cNvSpPr>
                <a:spLocks noTextEdit="1"/>
              </xdr:cNvSpPr>
            </xdr:nvSpPr>
            <xdr:spPr>
              <a:xfrm>
                <a:off x="13277850" y="190500"/>
                <a:ext cx="1828800" cy="17335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fPrintsWithSheet="0"/>
  </xdr:twoCellAnchor>
  <xdr:twoCellAnchor editAs="oneCell">
    <xdr:from>
      <xdr:col>1</xdr:col>
      <xdr:colOff>0</xdr:colOff>
      <xdr:row>1</xdr:row>
      <xdr:rowOff>0</xdr:rowOff>
    </xdr:from>
    <xdr:to>
      <xdr:col>3</xdr:col>
      <xdr:colOff>1384775</xdr:colOff>
      <xdr:row>6</xdr:row>
      <xdr:rowOff>5490</xdr:rowOff>
    </xdr:to>
    <xdr:pic>
      <xdr:nvPicPr>
        <xdr:cNvPr id="11" name="Picture 10" descr="Auto Replac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1</xdr:row>
      <xdr:rowOff>9525</xdr:rowOff>
    </xdr:from>
    <xdr:to>
      <xdr:col>4</xdr:col>
      <xdr:colOff>204236</xdr:colOff>
      <xdr:row>6</xdr:row>
      <xdr:rowOff>15015</xdr:rowOff>
    </xdr:to>
    <xdr:pic>
      <xdr:nvPicPr>
        <xdr:cNvPr id="2" name="Picture 1" descr="Auto Replace">
          <a:extLst>
            <a:ext uri="{FF2B5EF4-FFF2-40B4-BE49-F238E27FC236}">
              <a16:creationId xmlns:a16="http://schemas.microsoft.com/office/drawing/2014/main" id="{6EB34E6A-FC37-49A9-BFA0-4792D3C9B4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00025"/>
          <a:ext cx="2537861" cy="957990"/>
        </a:xfrm>
        <a:prstGeom prst="rect">
          <a:avLst/>
        </a:prstGeom>
      </xdr:spPr>
    </xdr:pic>
    <xdr:clientData/>
  </xdr:twoCellAnchor>
  <xdr:twoCellAnchor>
    <xdr:from>
      <xdr:col>0</xdr:col>
      <xdr:colOff>190499</xdr:colOff>
      <xdr:row>12</xdr:row>
      <xdr:rowOff>0</xdr:rowOff>
    </xdr:from>
    <xdr:to>
      <xdr:col>25</xdr:col>
      <xdr:colOff>572474</xdr:colOff>
      <xdr:row>30</xdr:row>
      <xdr:rowOff>171000</xdr:rowOff>
    </xdr:to>
    <xdr:grpSp>
      <xdr:nvGrpSpPr>
        <xdr:cNvPr id="17" name="Group 16">
          <a:extLst>
            <a:ext uri="{FF2B5EF4-FFF2-40B4-BE49-F238E27FC236}">
              <a16:creationId xmlns:a16="http://schemas.microsoft.com/office/drawing/2014/main" id="{AADA8BC4-90B2-472D-A533-31ACEB2E98C7}"/>
            </a:ext>
          </a:extLst>
        </xdr:cNvPr>
        <xdr:cNvGrpSpPr/>
      </xdr:nvGrpSpPr>
      <xdr:grpSpPr>
        <a:xfrm>
          <a:off x="190499" y="2419350"/>
          <a:ext cx="16383975" cy="3600000"/>
          <a:chOff x="190499" y="2638425"/>
          <a:chExt cx="16117275" cy="3600000"/>
        </a:xfrm>
      </xdr:grpSpPr>
      <xdr:graphicFrame macro="">
        <xdr:nvGraphicFramePr>
          <xdr:cNvPr id="15" name="Chart 14">
            <a:extLst>
              <a:ext uri="{FF2B5EF4-FFF2-40B4-BE49-F238E27FC236}">
                <a16:creationId xmlns:a16="http://schemas.microsoft.com/office/drawing/2014/main" id="{E41A4192-0A9D-4B65-ADB5-26BB8310DB7B}"/>
              </a:ext>
            </a:extLst>
          </xdr:cNvPr>
          <xdr:cNvGraphicFramePr>
            <a:graphicFrameLocks/>
          </xdr:cNvGraphicFramePr>
        </xdr:nvGraphicFramePr>
        <xdr:xfrm>
          <a:off x="190499" y="2638425"/>
          <a:ext cx="5076825" cy="360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6" name="Chart 15">
            <a:extLst>
              <a:ext uri="{FF2B5EF4-FFF2-40B4-BE49-F238E27FC236}">
                <a16:creationId xmlns:a16="http://schemas.microsoft.com/office/drawing/2014/main" id="{C8DD7610-DD94-4A03-974D-4F14CD58F544}"/>
              </a:ext>
            </a:extLst>
          </xdr:cNvPr>
          <xdr:cNvGraphicFramePr>
            <a:graphicFrameLocks/>
          </xdr:cNvGraphicFramePr>
        </xdr:nvGraphicFramePr>
        <xdr:xfrm>
          <a:off x="5972174" y="2638425"/>
          <a:ext cx="10335600" cy="3600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xdr:col>
      <xdr:colOff>0</xdr:colOff>
      <xdr:row>35</xdr:row>
      <xdr:rowOff>0</xdr:rowOff>
    </xdr:from>
    <xdr:to>
      <xdr:col>6</xdr:col>
      <xdr:colOff>904050</xdr:colOff>
      <xdr:row>53</xdr:row>
      <xdr:rowOff>171000</xdr:rowOff>
    </xdr:to>
    <xdr:graphicFrame macro="">
      <xdr:nvGraphicFramePr>
        <xdr:cNvPr id="18" name="Chart 17">
          <a:extLst>
            <a:ext uri="{FF2B5EF4-FFF2-40B4-BE49-F238E27FC236}">
              <a16:creationId xmlns:a16="http://schemas.microsoft.com/office/drawing/2014/main" id="{D6D9B2F6-C980-4D83-99B0-9A2898F26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695324</xdr:colOff>
      <xdr:row>35</xdr:row>
      <xdr:rowOff>0</xdr:rowOff>
    </xdr:from>
    <xdr:to>
      <xdr:col>25</xdr:col>
      <xdr:colOff>572474</xdr:colOff>
      <xdr:row>53</xdr:row>
      <xdr:rowOff>171000</xdr:rowOff>
    </xdr:to>
    <xdr:graphicFrame macro="">
      <xdr:nvGraphicFramePr>
        <xdr:cNvPr id="19" name="Chart 18">
          <a:extLst>
            <a:ext uri="{FF2B5EF4-FFF2-40B4-BE49-F238E27FC236}">
              <a16:creationId xmlns:a16="http://schemas.microsoft.com/office/drawing/2014/main" id="{AE9D9CEA-5084-4E87-9CF9-0699C541B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73</xdr:row>
      <xdr:rowOff>0</xdr:rowOff>
    </xdr:from>
    <xdr:to>
      <xdr:col>25</xdr:col>
      <xdr:colOff>569925</xdr:colOff>
      <xdr:row>91</xdr:row>
      <xdr:rowOff>171000</xdr:rowOff>
    </xdr:to>
    <xdr:grpSp>
      <xdr:nvGrpSpPr>
        <xdr:cNvPr id="25" name="Group 24">
          <a:extLst>
            <a:ext uri="{FF2B5EF4-FFF2-40B4-BE49-F238E27FC236}">
              <a16:creationId xmlns:a16="http://schemas.microsoft.com/office/drawing/2014/main" id="{C6088B83-6AB7-4801-A2E4-093E045A7F94}"/>
            </a:ext>
          </a:extLst>
        </xdr:cNvPr>
        <xdr:cNvGrpSpPr/>
      </xdr:nvGrpSpPr>
      <xdr:grpSpPr>
        <a:xfrm>
          <a:off x="190500" y="17249775"/>
          <a:ext cx="16381425" cy="3600000"/>
          <a:chOff x="190500" y="17468850"/>
          <a:chExt cx="16114725" cy="3600000"/>
        </a:xfrm>
      </xdr:grpSpPr>
      <xdr:graphicFrame macro="">
        <xdr:nvGraphicFramePr>
          <xdr:cNvPr id="20" name="Chart 19">
            <a:extLst>
              <a:ext uri="{FF2B5EF4-FFF2-40B4-BE49-F238E27FC236}">
                <a16:creationId xmlns:a16="http://schemas.microsoft.com/office/drawing/2014/main" id="{76A4D09A-E880-498D-82C8-99E7F5BFE758}"/>
              </a:ext>
            </a:extLst>
          </xdr:cNvPr>
          <xdr:cNvGraphicFramePr>
            <a:graphicFrameLocks/>
          </xdr:cNvGraphicFramePr>
        </xdr:nvGraphicFramePr>
        <xdr:xfrm>
          <a:off x="190500" y="17468850"/>
          <a:ext cx="4320000" cy="36000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3" name="Chart 22">
            <a:extLst>
              <a:ext uri="{FF2B5EF4-FFF2-40B4-BE49-F238E27FC236}">
                <a16:creationId xmlns:a16="http://schemas.microsoft.com/office/drawing/2014/main" id="{70BB359A-D0CC-4407-A627-25BB9BC588BC}"/>
              </a:ext>
            </a:extLst>
          </xdr:cNvPr>
          <xdr:cNvGraphicFramePr>
            <a:graphicFrameLocks/>
          </xdr:cNvGraphicFramePr>
        </xdr:nvGraphicFramePr>
        <xdr:xfrm>
          <a:off x="4691063" y="17468850"/>
          <a:ext cx="4320000" cy="36000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4" name="Chart 23">
            <a:extLst>
              <a:ext uri="{FF2B5EF4-FFF2-40B4-BE49-F238E27FC236}">
                <a16:creationId xmlns:a16="http://schemas.microsoft.com/office/drawing/2014/main" id="{2329440E-6C66-4B61-868F-D650058EAF85}"/>
              </a:ext>
            </a:extLst>
          </xdr:cNvPr>
          <xdr:cNvGraphicFramePr>
            <a:graphicFrameLocks/>
          </xdr:cNvGraphicFramePr>
        </xdr:nvGraphicFramePr>
        <xdr:xfrm>
          <a:off x="9191625" y="17468850"/>
          <a:ext cx="7113600" cy="36000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2727800</xdr:colOff>
      <xdr:row>6</xdr:row>
      <xdr:rowOff>5490</xdr:rowOff>
    </xdr:to>
    <xdr:pic>
      <xdr:nvPicPr>
        <xdr:cNvPr id="3" name="Picture 2" descr="Auto Replac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756125</xdr:colOff>
      <xdr:row>6</xdr:row>
      <xdr:rowOff>5490</xdr:rowOff>
    </xdr:to>
    <xdr:pic>
      <xdr:nvPicPr>
        <xdr:cNvPr id="2" name="Picture 1" descr="Auto Replace">
          <a:extLst>
            <a:ext uri="{FF2B5EF4-FFF2-40B4-BE49-F238E27FC236}">
              <a16:creationId xmlns:a16="http://schemas.microsoft.com/office/drawing/2014/main" id="{24BE2D04-F874-42CF-9091-99B01BBB7A8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1289525</xdr:colOff>
      <xdr:row>6</xdr:row>
      <xdr:rowOff>5490</xdr:rowOff>
    </xdr:to>
    <xdr:pic>
      <xdr:nvPicPr>
        <xdr:cNvPr id="2" name="Picture 1" descr="Auto Replace">
          <a:extLst>
            <a:ext uri="{FF2B5EF4-FFF2-40B4-BE49-F238E27FC236}">
              <a16:creationId xmlns:a16="http://schemas.microsoft.com/office/drawing/2014/main" id="{760FA01B-2542-4794-A6CF-9AD94C6F0AD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1213325</xdr:colOff>
      <xdr:row>6</xdr:row>
      <xdr:rowOff>5490</xdr:rowOff>
    </xdr:to>
    <xdr:pic>
      <xdr:nvPicPr>
        <xdr:cNvPr id="2" name="Picture 1" descr="Auto Replace">
          <a:extLst>
            <a:ext uri="{FF2B5EF4-FFF2-40B4-BE49-F238E27FC236}">
              <a16:creationId xmlns:a16="http://schemas.microsoft.com/office/drawing/2014/main" id="{D676B61B-2B5D-461D-BDE9-19A51E7D991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860900</xdr:colOff>
      <xdr:row>6</xdr:row>
      <xdr:rowOff>5490</xdr:rowOff>
    </xdr:to>
    <xdr:pic>
      <xdr:nvPicPr>
        <xdr:cNvPr id="3" name="Picture 2" descr="Auto Replace">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51275</xdr:colOff>
      <xdr:row>6</xdr:row>
      <xdr:rowOff>5490</xdr:rowOff>
    </xdr:to>
    <xdr:pic>
      <xdr:nvPicPr>
        <xdr:cNvPr id="3" name="Picture 2" descr="Auto Replace">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mc="http://schemas.openxmlformats.org/markup-compatibility/2006" xmlns:r="http://schemas.openxmlformats.org/officeDocument/2006/relationships" xmlns:x14="http://schemas.microsoft.com/office/spreadsheetml/2009/9/main" xmlns:xr="http://schemas.microsoft.com/office/spreadsheetml/2014/revision" mc:Ignorable="xr" r:id="rId1" refreshedBy="مدير إدارة أمن المعلومات" refreshedDate="43998.40882384259" createdVersion="6" refreshedVersion="6" minRefreshableVersion="3" recordCount="3" xr:uid="{4866C044-9A83-4F76-991A-D830CBE6FB4C}" refreshOnLoad="1">
  <cacheSource type="worksheet">
    <worksheetSource name="RisksByRiskLevelPreandPostTreatment10"/>
  </cacheSource>
  <cacheFields count="2">
    <cacheField name="مستوى الخطر" numFmtId="0">
      <sharedItems count="3">
        <s v=" Low"/>
        <s v=" Medium"/>
        <s v=" High"/>
      </sharedItems>
    </cacheField>
    <cacheField name="بعد المعالجة" numFmtId="0">
      <sharedItems containsSemiMixedTypes="0" containsString="0" containsNumber="1" containsInteger="1" minValue="0" maxValue="0"/>
    </cacheField>
  </cacheFields>
  <extLst>
    <ext uri="{725AE2AE-9491-48be-B2B4-4EB974FC3084}">
      <x14:pivotCacheDefinition/>
    </ext>
  </extLst>
</pivotCacheDefinition>
</file>

<file path=xl/pivotCache/pivotCacheDefinition2.xml><?xml version="1.0" encoding="utf-8"?>
<pivotCacheDefinition xmlns="http://schemas.openxmlformats.org/spreadsheetml/2006/main" xmlns:mc="http://schemas.openxmlformats.org/markup-compatibility/2006" xmlns:r="http://schemas.openxmlformats.org/officeDocument/2006/relationships" xmlns:x14="http://schemas.microsoft.com/office/spreadsheetml/2009/9/main" xmlns:xr="http://schemas.microsoft.com/office/spreadsheetml/2014/revision" mc:Ignorable="xr" r:id="rId1" refreshedBy="مدير إدارة أمن المعلومات" refreshedDate="43998.408823958336" createdVersion="6" refreshedVersion="6" minRefreshableVersion="3" recordCount="3" xr:uid="{DEE2D96F-875B-47BD-A15F-8F45621780F9}" refreshOnLoad="1">
  <cacheSource type="worksheet">
    <worksheetSource name="PreTreatmentRisksByRiskLevel"/>
  </cacheSource>
  <cacheFields count="2">
    <cacheField name="مستوى الخطر" numFmtId="0">
      <sharedItems count="3">
        <s v=" Low"/>
        <s v=" Medium"/>
        <s v=" High"/>
      </sharedItems>
    </cacheField>
    <cacheField name="قبل المعالجة" numFmtId="0">
      <sharedItems containsSemiMixedTypes="0" containsString="0" containsNumber="1" containsInteger="1" minValue="0" maxValue="0"/>
    </cacheField>
  </cacheFields>
  <extLst>
    <ext uri="{725AE2AE-9491-48be-B2B4-4EB974FC3084}">
      <x14:pivotCacheDefinition/>
    </ext>
  </extLst>
</pivotCacheDefinition>
</file>

<file path=xl/pivotCache/pivotCacheDefinition3.xml><?xml version="1.0" encoding="utf-8"?>
<pivotCacheDefinition xmlns="http://schemas.openxmlformats.org/spreadsheetml/2006/main" xmlns:mc="http://schemas.openxmlformats.org/markup-compatibility/2006" xmlns:r="http://schemas.openxmlformats.org/officeDocument/2006/relationships" xmlns:x14="http://schemas.microsoft.com/office/spreadsheetml/2009/9/main" xmlns:xr="http://schemas.microsoft.com/office/spreadsheetml/2014/revision" mc:Ignorable="xr" r:id="rId1" refreshedBy="مدير إدارة أمن المعلومات" refreshedDate="43998.408824189813" missingItemsLimit="0" createdVersion="6" refreshedVersion="6" minRefreshableVersion="3" recordCount="20" xr:uid="{D4528FD9-AD79-4888-BF3A-A1D44A9D054F}" refreshOnLoad="1">
  <cacheSource type="worksheet">
    <worksheetSource name="RiskAssessment"/>
  </cacheSource>
  <cacheFields count="29">
    <cacheField name="المرجع" numFmtId="0">
      <sharedItems containsSemiMixedTypes="0" containsString="0" containsNumber="1" containsInteger="1" minValue="1" maxValue="20"/>
    </cacheField>
    <cacheField name="مجموعة الأصل" numFmtId="0">
      <sharedItems containsNonDate="0" containsString="0" containsBlank="1"/>
    </cacheField>
    <cacheField name="الأصل" numFmtId="0">
      <sharedItems containsNonDate="0" containsString="0" containsBlank="1"/>
    </cacheField>
    <cacheField name="التهديد" numFmtId="0">
      <sharedItems containsNonDate="0" containsString="0" containsBlank="1"/>
    </cacheField>
    <cacheField name="نقطة الضعف" numFmtId="0">
      <sharedItems containsNonDate="0" containsString="0" containsBlank="1"/>
    </cacheField>
    <cacheField name="نوع الخطر" numFmtId="0">
      <sharedItems count="1">
        <s v="Select…"/>
      </sharedItems>
    </cacheField>
    <cacheField name="مالك الخطر" numFmtId="0">
      <sharedItems containsNonDate="0" containsString="0" containsBlank="1" count="1">
        <m/>
      </sharedItems>
    </cacheField>
    <cacheField name="الضوابط القائمة" numFmtId="0">
      <sharedItems containsNonDate="0" containsString="0" containsBlank="1"/>
    </cacheField>
    <cacheField name="الاحتمالية" numFmtId="0">
      <sharedItems/>
    </cacheField>
    <cacheField name="مبرر الاحتمالية" numFmtId="0">
      <sharedItems containsNonDate="0" containsString="0" containsBlank="1"/>
    </cacheField>
    <cacheField name="التأثير" numFmtId="0">
      <sharedItems/>
    </cacheField>
    <cacheField name="مبرر التأثير" numFmtId="0">
      <sharedItems containsNonDate="0" containsString="0" containsBlank="1"/>
    </cacheField>
    <cacheField name="درجة الخطر" numFmtId="0">
      <sharedItems/>
    </cacheField>
    <cacheField name="مستوى الخطر" numFmtId="0">
      <sharedItems count="1">
        <s v="Calculated"/>
      </sharedItems>
    </cacheField>
    <cacheField name="خيار المعالجة المختار" numFmtId="0">
      <sharedItems count="1">
        <s v="Select…"/>
      </sharedItems>
    </cacheField>
    <cacheField name="إجراء المعالجة المقترح" numFmtId="0">
      <sharedItems containsNonDate="0" containsString="0" containsBlank="1"/>
    </cacheField>
    <cacheField name="مرجع الضابط - الملحق A" numFmtId="0">
      <sharedItems containsNonDate="0" containsString="0" containsBlank="1"/>
    </cacheField>
    <cacheField name="تكلفة المعالجة" numFmtId="43">
      <sharedItems containsSemiMixedTypes="0" containsString="0" containsNumber="1" containsInteger="1" minValue="0" maxValue="0"/>
    </cacheField>
    <cacheField name="مسؤول إجراء المعالجة" numFmtId="0">
      <sharedItems containsNonDate="0" containsString="0" containsBlank="1" count="1">
        <m/>
      </sharedItems>
    </cacheField>
    <cacheField name="الموعد المستهدف للإجراء" numFmtId="0">
      <sharedItems containsNonDate="0" containsString="0" containsBlank="1"/>
    </cacheField>
    <cacheField name="نسبة إنجاز الإجراء" numFmtId="0">
      <sharedItems containsNonDate="0" containsString="0" containsBlank="1"/>
    </cacheField>
    <cacheField name="حالة الإجراء" numFmtId="0">
      <sharedItems/>
    </cacheField>
    <cacheField name="الاحتمالية بعد المعالجة" numFmtId="0">
      <sharedItems/>
    </cacheField>
    <cacheField name="مبرر الاحتمالية بعد المعالجة" numFmtId="0">
      <sharedItems containsNonDate="0" containsString="0" containsBlank="1"/>
    </cacheField>
    <cacheField name="التأثير بعد المعالجة" numFmtId="0">
      <sharedItems/>
    </cacheField>
    <cacheField name="مبرر التأثير بعد المعالجة" numFmtId="0">
      <sharedItems containsNonDate="0" containsString="0" containsBlank="1"/>
    </cacheField>
    <cacheField name="درجة الخطر بعد المعالجة" numFmtId="0">
      <sharedItems/>
    </cacheField>
    <cacheField name="مستوى الخطر بعد المعالجة" numFmtId="0">
      <sharedItems/>
    </cacheField>
    <cacheField name="ملاحظات" numFmtId="0">
      <sharedItems containsNonDate="0" containsString="0" containsBlank="1"/>
    </cacheField>
  </cacheFields>
  <extLst>
    <ext uri="{725AE2AE-9491-48be-B2B4-4EB974FC3084}">
      <x14:pivotCacheDefinition/>
    </ext>
  </extLst>
</pivotCacheDefinition>
</file>

<file path=xl/pivotCache/pivotCacheDefinition4.xml><?xml version="1.0" encoding="utf-8"?>
<pivotCacheDefinition xmlns="http://schemas.openxmlformats.org/spreadsheetml/2006/main" xmlns:mc="http://schemas.openxmlformats.org/markup-compatibility/2006" xmlns:r="http://schemas.openxmlformats.org/officeDocument/2006/relationships" xmlns:x14="http://schemas.microsoft.com/office/spreadsheetml/2009/9/main" xmlns:xr="http://schemas.microsoft.com/office/spreadsheetml/2014/revision" mc:Ignorable="xr" r:id="rId1" refreshedBy="مدير إدارة أمن المعلومات" refreshedDate="43998.408824768521" createdVersion="6" refreshedVersion="6" minRefreshableVersion="3" recordCount="3" xr:uid="{24BCF65A-4BA1-4573-989E-EBE63294D3D9}" refreshOnLoad="1">
  <cacheSource type="worksheet">
    <worksheetSource name="PreMitigationRisksByRiskLevel10"/>
  </cacheSource>
  <cacheFields count="3">
    <cacheField name="مستوى الخطر" numFmtId="0">
      <sharedItems count="3">
        <s v=" Low"/>
        <s v=" Medium"/>
        <s v=" High"/>
      </sharedItems>
    </cacheField>
    <cacheField name="قبل المعالجة" numFmtId="0">
      <sharedItems containsSemiMixedTypes="0" containsString="0" containsNumber="1" containsInteger="1" minValue="0" maxValue="0"/>
    </cacheField>
    <cacheField name="بعد المعالجة" numFmtId="0">
      <sharedItems containsSemiMixedTypes="0" containsString="0" containsNumber="1" containsInteger="1" minValue="0" maxValue="0"/>
    </cacheField>
  </cacheFields>
  <extLst>
    <ext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r>
  <r>
    <x v="1"/>
    <n v="0"/>
  </r>
  <r>
    <x v="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r>
  <r>
    <x v="1"/>
    <n v="0"/>
  </r>
  <r>
    <x v="2"/>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m/>
    <m/>
    <m/>
    <m/>
    <x v="0"/>
    <x v="0"/>
    <m/>
    <s v="Select…"/>
    <m/>
    <s v="Select…"/>
    <m/>
    <s v="Calculated"/>
    <x v="0"/>
    <x v="0"/>
    <m/>
    <m/>
    <n v="0"/>
    <x v="0"/>
    <m/>
    <m/>
    <s v="Select…"/>
    <s v="Select…"/>
    <m/>
    <s v="Select…"/>
    <m/>
    <s v="Calculated"/>
    <s v="Calculated"/>
    <m/>
  </r>
  <r>
    <n v="2"/>
    <m/>
    <m/>
    <m/>
    <m/>
    <x v="0"/>
    <x v="0"/>
    <m/>
    <s v="Select…"/>
    <m/>
    <s v="Select…"/>
    <m/>
    <s v="Calculated"/>
    <x v="0"/>
    <x v="0"/>
    <m/>
    <m/>
    <n v="0"/>
    <x v="0"/>
    <m/>
    <m/>
    <s v="Select…"/>
    <s v="Select…"/>
    <m/>
    <s v="Select…"/>
    <m/>
    <s v="Calculated"/>
    <s v="Calculated"/>
    <m/>
  </r>
  <r>
    <n v="3"/>
    <m/>
    <m/>
    <m/>
    <m/>
    <x v="0"/>
    <x v="0"/>
    <m/>
    <s v="Select…"/>
    <m/>
    <s v="Select…"/>
    <m/>
    <s v="Calculated"/>
    <x v="0"/>
    <x v="0"/>
    <m/>
    <m/>
    <n v="0"/>
    <x v="0"/>
    <m/>
    <m/>
    <s v="Select…"/>
    <s v="Select…"/>
    <m/>
    <s v="Select…"/>
    <m/>
    <s v="Calculated"/>
    <s v="Calculated"/>
    <m/>
  </r>
  <r>
    <n v="4"/>
    <m/>
    <m/>
    <m/>
    <m/>
    <x v="0"/>
    <x v="0"/>
    <m/>
    <s v="Select…"/>
    <m/>
    <s v="Select…"/>
    <m/>
    <s v="Calculated"/>
    <x v="0"/>
    <x v="0"/>
    <m/>
    <m/>
    <n v="0"/>
    <x v="0"/>
    <m/>
    <m/>
    <s v="Select…"/>
    <s v="Select…"/>
    <m/>
    <s v="Select…"/>
    <m/>
    <s v="Calculated"/>
    <s v="Calculated"/>
    <m/>
  </r>
  <r>
    <n v="5"/>
    <m/>
    <m/>
    <m/>
    <m/>
    <x v="0"/>
    <x v="0"/>
    <m/>
    <s v="Select…"/>
    <m/>
    <s v="Select…"/>
    <m/>
    <s v="Calculated"/>
    <x v="0"/>
    <x v="0"/>
    <m/>
    <m/>
    <n v="0"/>
    <x v="0"/>
    <m/>
    <m/>
    <s v="Select…"/>
    <s v="Select…"/>
    <m/>
    <s v="Select…"/>
    <m/>
    <s v="Calculated"/>
    <s v="Calculated"/>
    <m/>
  </r>
  <r>
    <n v="6"/>
    <m/>
    <m/>
    <m/>
    <m/>
    <x v="0"/>
    <x v="0"/>
    <m/>
    <s v="Select…"/>
    <m/>
    <s v="Select…"/>
    <m/>
    <s v="Calculated"/>
    <x v="0"/>
    <x v="0"/>
    <m/>
    <m/>
    <n v="0"/>
    <x v="0"/>
    <m/>
    <m/>
    <s v="Select…"/>
    <s v="Select…"/>
    <m/>
    <s v="Select…"/>
    <m/>
    <s v="Calculated"/>
    <s v="Calculated"/>
    <m/>
  </r>
  <r>
    <n v="7"/>
    <m/>
    <m/>
    <m/>
    <m/>
    <x v="0"/>
    <x v="0"/>
    <m/>
    <s v="Select…"/>
    <m/>
    <s v="Select…"/>
    <m/>
    <s v="Calculated"/>
    <x v="0"/>
    <x v="0"/>
    <m/>
    <m/>
    <n v="0"/>
    <x v="0"/>
    <m/>
    <m/>
    <s v="Select…"/>
    <s v="Select…"/>
    <m/>
    <s v="Select…"/>
    <m/>
    <s v="Calculated"/>
    <s v="Calculated"/>
    <m/>
  </r>
  <r>
    <n v="8"/>
    <m/>
    <m/>
    <m/>
    <m/>
    <x v="0"/>
    <x v="0"/>
    <m/>
    <s v="Select…"/>
    <m/>
    <s v="Select…"/>
    <m/>
    <s v="Calculated"/>
    <x v="0"/>
    <x v="0"/>
    <m/>
    <m/>
    <n v="0"/>
    <x v="0"/>
    <m/>
    <m/>
    <s v="Select…"/>
    <s v="Select…"/>
    <m/>
    <s v="Select…"/>
    <m/>
    <s v="Calculated"/>
    <s v="Calculated"/>
    <m/>
  </r>
  <r>
    <n v="9"/>
    <m/>
    <m/>
    <m/>
    <m/>
    <x v="0"/>
    <x v="0"/>
    <m/>
    <s v="Select…"/>
    <m/>
    <s v="Select…"/>
    <m/>
    <s v="Calculated"/>
    <x v="0"/>
    <x v="0"/>
    <m/>
    <m/>
    <n v="0"/>
    <x v="0"/>
    <m/>
    <m/>
    <s v="Select…"/>
    <s v="Select…"/>
    <m/>
    <s v="Select…"/>
    <m/>
    <s v="Calculated"/>
    <s v="Calculated"/>
    <m/>
  </r>
  <r>
    <n v="10"/>
    <m/>
    <m/>
    <m/>
    <m/>
    <x v="0"/>
    <x v="0"/>
    <m/>
    <s v="Select…"/>
    <m/>
    <s v="Select…"/>
    <m/>
    <s v="Calculated"/>
    <x v="0"/>
    <x v="0"/>
    <m/>
    <m/>
    <n v="0"/>
    <x v="0"/>
    <m/>
    <m/>
    <s v="Select…"/>
    <s v="Select…"/>
    <m/>
    <s v="Select…"/>
    <m/>
    <s v="Calculated"/>
    <s v="Calculated"/>
    <m/>
  </r>
  <r>
    <n v="11"/>
    <m/>
    <m/>
    <m/>
    <m/>
    <x v="0"/>
    <x v="0"/>
    <m/>
    <s v="Select…"/>
    <m/>
    <s v="Select…"/>
    <m/>
    <s v="Calculated"/>
    <x v="0"/>
    <x v="0"/>
    <m/>
    <m/>
    <n v="0"/>
    <x v="0"/>
    <m/>
    <m/>
    <s v="Select…"/>
    <s v="Select…"/>
    <m/>
    <s v="Select…"/>
    <m/>
    <s v="Calculated"/>
    <s v="Calculated"/>
    <m/>
  </r>
  <r>
    <n v="12"/>
    <m/>
    <m/>
    <m/>
    <m/>
    <x v="0"/>
    <x v="0"/>
    <m/>
    <s v="Select…"/>
    <m/>
    <s v="Select…"/>
    <m/>
    <s v="Calculated"/>
    <x v="0"/>
    <x v="0"/>
    <m/>
    <m/>
    <n v="0"/>
    <x v="0"/>
    <m/>
    <m/>
    <s v="Select…"/>
    <s v="Select…"/>
    <m/>
    <s v="Select…"/>
    <m/>
    <s v="Calculated"/>
    <s v="Calculated"/>
    <m/>
  </r>
  <r>
    <n v="13"/>
    <m/>
    <m/>
    <m/>
    <m/>
    <x v="0"/>
    <x v="0"/>
    <m/>
    <s v="Select…"/>
    <m/>
    <s v="Select…"/>
    <m/>
    <s v="Calculated"/>
    <x v="0"/>
    <x v="0"/>
    <m/>
    <m/>
    <n v="0"/>
    <x v="0"/>
    <m/>
    <m/>
    <s v="Select…"/>
    <s v="Select…"/>
    <m/>
    <s v="Select…"/>
    <m/>
    <s v="Calculated"/>
    <s v="Calculated"/>
    <m/>
  </r>
  <r>
    <n v="14"/>
    <m/>
    <m/>
    <m/>
    <m/>
    <x v="0"/>
    <x v="0"/>
    <m/>
    <s v="Select…"/>
    <m/>
    <s v="Select…"/>
    <m/>
    <s v="Calculated"/>
    <x v="0"/>
    <x v="0"/>
    <m/>
    <m/>
    <n v="0"/>
    <x v="0"/>
    <m/>
    <m/>
    <s v="Select…"/>
    <s v="Select…"/>
    <m/>
    <s v="Select…"/>
    <m/>
    <s v="Calculated"/>
    <s v="Calculated"/>
    <m/>
  </r>
  <r>
    <n v="15"/>
    <m/>
    <m/>
    <m/>
    <m/>
    <x v="0"/>
    <x v="0"/>
    <m/>
    <s v="Select…"/>
    <m/>
    <s v="Select…"/>
    <m/>
    <s v="Calculated"/>
    <x v="0"/>
    <x v="0"/>
    <m/>
    <m/>
    <n v="0"/>
    <x v="0"/>
    <m/>
    <m/>
    <s v="Select…"/>
    <s v="Select…"/>
    <m/>
    <s v="Select…"/>
    <m/>
    <s v="Calculated"/>
    <s v="Calculated"/>
    <m/>
  </r>
  <r>
    <n v="16"/>
    <m/>
    <m/>
    <m/>
    <m/>
    <x v="0"/>
    <x v="0"/>
    <m/>
    <s v="Select…"/>
    <m/>
    <s v="Select…"/>
    <m/>
    <s v="Calculated"/>
    <x v="0"/>
    <x v="0"/>
    <m/>
    <m/>
    <n v="0"/>
    <x v="0"/>
    <m/>
    <m/>
    <s v="Select…"/>
    <s v="Select…"/>
    <m/>
    <s v="Select…"/>
    <m/>
    <s v="Calculated"/>
    <s v="Calculated"/>
    <m/>
  </r>
  <r>
    <n v="17"/>
    <m/>
    <m/>
    <m/>
    <m/>
    <x v="0"/>
    <x v="0"/>
    <m/>
    <s v="Select…"/>
    <m/>
    <s v="Select…"/>
    <m/>
    <s v="Calculated"/>
    <x v="0"/>
    <x v="0"/>
    <m/>
    <m/>
    <n v="0"/>
    <x v="0"/>
    <m/>
    <m/>
    <s v="Select…"/>
    <s v="Select…"/>
    <m/>
    <s v="Select…"/>
    <m/>
    <s v="Calculated"/>
    <s v="Calculated"/>
    <m/>
  </r>
  <r>
    <n v="18"/>
    <m/>
    <m/>
    <m/>
    <m/>
    <x v="0"/>
    <x v="0"/>
    <m/>
    <s v="Select…"/>
    <m/>
    <s v="Select…"/>
    <m/>
    <s v="Calculated"/>
    <x v="0"/>
    <x v="0"/>
    <m/>
    <m/>
    <n v="0"/>
    <x v="0"/>
    <m/>
    <m/>
    <s v="Select…"/>
    <s v="Select…"/>
    <m/>
    <s v="Select…"/>
    <m/>
    <s v="Calculated"/>
    <s v="Calculated"/>
    <m/>
  </r>
  <r>
    <n v="19"/>
    <m/>
    <m/>
    <m/>
    <m/>
    <x v="0"/>
    <x v="0"/>
    <m/>
    <s v="Select…"/>
    <m/>
    <s v="Select…"/>
    <m/>
    <s v="Calculated"/>
    <x v="0"/>
    <x v="0"/>
    <m/>
    <m/>
    <n v="0"/>
    <x v="0"/>
    <m/>
    <m/>
    <s v="Select…"/>
    <s v="Select…"/>
    <m/>
    <s v="Select…"/>
    <m/>
    <s v="Calculated"/>
    <s v="Calculated"/>
    <m/>
  </r>
  <r>
    <n v="20"/>
    <m/>
    <m/>
    <m/>
    <m/>
    <x v="0"/>
    <x v="0"/>
    <m/>
    <s v="Select…"/>
    <m/>
    <s v="Select…"/>
    <m/>
    <s v="Calculated"/>
    <x v="0"/>
    <x v="0"/>
    <m/>
    <m/>
    <n v="0"/>
    <x v="0"/>
    <m/>
    <m/>
    <s v="Select…"/>
    <s v="Select…"/>
    <m/>
    <s v="Select…"/>
    <m/>
    <s v="Calculated"/>
    <s v="Calculated"/>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n v="0"/>
  </r>
  <r>
    <x v="1"/>
    <n v="0"/>
    <n v="0"/>
  </r>
  <r>
    <x v="2"/>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14="http://schemas.microsoft.com/office/spreadsheetml/2009/9/main" xmlns:xpdl="http://schemas.microsoft.com/office/spreadsheetml/2016/pivotdefaultlayout" xmlns:xr="http://schemas.microsoft.com/office/spreadsheetml/2014/revision" mc:Ignorable="xr" xr:uid="{F2254CD0-A79C-4153-9D7E-A34A421295CD}" name="PreTreatmentRisks" cacheId="5"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8">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قبل المعالجة" fld="1" baseField="0" baseItem="0"/>
  </dataFields>
  <formats count="6">
    <format dxfId="124">
      <pivotArea field="0" type="button" dataOnly="0" labelOnly="1" outline="0" axis="axisRow" fieldPosition="0"/>
    </format>
    <format dxfId="123">
      <pivotArea dataOnly="0" labelOnly="1" outline="0" axis="axisValues" fieldPosition="0"/>
    </format>
    <format dxfId="122">
      <pivotArea field="0" type="button" dataOnly="0" labelOnly="1" outline="0" axis="axisRow" fieldPosition="0"/>
    </format>
    <format dxfId="121">
      <pivotArea dataOnly="0" labelOnly="1" outline="0" axis="axisValues" fieldPosition="0"/>
    </format>
    <format dxfId="120">
      <pivotArea field="0" type="button" dataOnly="0" labelOnly="1" outline="0" axis="axisRow" fieldPosition="0"/>
    </format>
    <format dxfId="119">
      <pivotArea dataOnly="0" labelOnly="1" outline="0" axis="axisValues"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uri="{962EF5D1-5CA2-4c93-8EF4-DBF5C05439D2}">
      <x14:pivotTableDefinition hideValuesRow="1"/>
    </ext>
    <ex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14="http://schemas.microsoft.com/office/spreadsheetml/2009/9/main" xmlns:xpdl="http://schemas.microsoft.com/office/spreadsheetml/2016/pivotdefaultlayout" xmlns:xr="http://schemas.microsoft.com/office/spreadsheetml/2014/revision" mc:Ignorable="xr" xr:uid="{BFACE55E-8D9E-4032-8BD7-F4C9EAE853C6}" name="PreTreatmentRisksByOwner" cacheId="6"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7">
  <location ref="B6:D7" firstHeaderRow="1" firstDataRow="1" firstDataCol="2"/>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3"/>
    <field x="6"/>
  </rowFields>
  <rowItems count="1">
    <i>
      <x/>
      <x/>
    </i>
  </rowItems>
  <colItems count="1">
    <i/>
  </colItems>
  <dataFields count="1">
    <dataField name="عدد المخاطر" fld="13" subtotal="count" baseField="0" baseItem="0"/>
  </dataFields>
  <formats count="6">
    <format dxfId="116">
      <pivotArea field="13" type="button" dataOnly="0" labelOnly="1" outline="0" axis="axisRow" fieldPosition="0"/>
    </format>
    <format dxfId="115">
      <pivotArea field="6" type="button" dataOnly="0" labelOnly="1" outline="0" axis="axisRow" fieldPosition="1"/>
    </format>
    <format dxfId="114">
      <pivotArea dataOnly="0" labelOnly="1" outline="0" axis="axisValues" fieldPosition="0"/>
    </format>
    <format dxfId="113">
      <pivotArea field="13" type="button" dataOnly="0" labelOnly="1" outline="0" axis="axisRow" fieldPosition="0"/>
    </format>
    <format dxfId="112">
      <pivotArea field="6" type="button" dataOnly="0" labelOnly="1" outline="0" axis="axisRow" fieldPosition="1"/>
    </format>
    <format dxfId="111">
      <pivotArea dataOnly="0" labelOnly="1" outline="0" axis="axisValues" fieldPosition="0"/>
    </format>
  </formats>
  <chartFormats count="2">
    <chartFormat chart="6" format="50" series="1">
      <pivotArea type="data" outline="0" fieldPosition="0">
        <references count="1">
          <reference field="4294967294" count="1" selected="0">
            <x v="0"/>
          </reference>
        </references>
      </pivotArea>
    </chartFormat>
    <chartFormat chart="6" format="5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uri="{962EF5D1-5CA2-4c93-8EF4-DBF5C05439D2}">
      <x14:pivotTableDefinition hideValuesRow="1"/>
    </ext>
    <ex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14="http://schemas.microsoft.com/office/spreadsheetml/2009/9/main" xmlns:xpdl="http://schemas.microsoft.com/office/spreadsheetml/2016/pivotdefaultlayout" xmlns:xr="http://schemas.microsoft.com/office/spreadsheetml/2014/revision" mc:Ignorable="xr" xr:uid="{595AE504-A48F-4AA2-88A6-8592D154440B}" name="PostTreatmentRisks"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بعد المعالجة" fld="1" baseField="0" baseItem="0"/>
  </dataFields>
  <formats count="4">
    <format dxfId="110">
      <pivotArea field="0" type="button" dataOnly="0" labelOnly="1" outline="0" axis="axisRow" fieldPosition="0"/>
    </format>
    <format dxfId="109">
      <pivotArea dataOnly="0" labelOnly="1" outline="0" axis="axisValues" fieldPosition="0"/>
    </format>
    <format dxfId="108">
      <pivotArea field="0" type="button" dataOnly="0" labelOnly="1" outline="0" axis="axisRow" fieldPosition="0"/>
    </format>
    <format dxfId="107">
      <pivotArea dataOnly="0" labelOnly="1" outline="0" axis="axisValues"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uri="{962EF5D1-5CA2-4c93-8EF4-DBF5C05439D2}">
      <x14:pivotTableDefinition hideValuesRow="1"/>
    </ext>
    <ex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14="http://schemas.microsoft.com/office/spreadsheetml/2009/9/main" xmlns:xpdl="http://schemas.microsoft.com/office/spreadsheetml/2016/pivotdefaultlayout" xmlns:xr="http://schemas.microsoft.com/office/spreadsheetml/2014/revision" mc:Ignorable="xr" xr:uid="{198E5981-7780-4152-B8A0-5BA3F8B9B204}" name="RisksByRiskLevelPre&amp;PostTreatment" cacheId="7"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12:D15" firstHeaderRow="0" firstDataRow="1" firstDataCol="1"/>
  <pivotFields count="3">
    <pivotField axis="axisRow" compact="0" outline="0" showAll="0" defaultSubtotal="0">
      <items count="3">
        <item x="0"/>
        <item x="1"/>
        <item x="2"/>
      </items>
    </pivotField>
    <pivotField dataField="1" compact="0" outline="0" showAll="0" defaultSubtotal="0"/>
    <pivotField dataField="1" compact="0" outline="0" showAll="0" defaultSubtotal="0"/>
  </pivotFields>
  <rowFields count="1">
    <field x="0"/>
  </rowFields>
  <rowItems count="3">
    <i>
      <x/>
    </i>
    <i>
      <x v="1"/>
    </i>
    <i>
      <x v="2"/>
    </i>
  </rowItems>
  <colFields count="1">
    <field x="-2"/>
  </colFields>
  <colItems count="2">
    <i>
      <x/>
    </i>
    <i i="1">
      <x v="1"/>
    </i>
  </colItems>
  <dataFields count="2">
    <dataField name="قبل المعالجة" fld="1" baseField="0" baseItem="0"/>
    <dataField name="بعد المعالجة" fld="2" baseField="0" baseItem="0"/>
  </dataFields>
  <formats count="4">
    <format dxfId="104">
      <pivotArea field="0" type="button" dataOnly="0" labelOnly="1" outline="0" axis="axisRow" fieldPosition="0"/>
    </format>
    <format dxfId="103">
      <pivotArea dataOnly="0" labelOnly="1" outline="0" fieldPosition="0">
        <references count="1">
          <reference field="4294967294" count="2">
            <x v="0"/>
            <x v="1"/>
          </reference>
        </references>
      </pivotArea>
    </format>
    <format dxfId="102">
      <pivotArea field="0" type="button" dataOnly="0" labelOnly="1" outline="0" axis="axisRow" fieldPosition="0"/>
    </format>
    <format dxfId="101">
      <pivotArea dataOnly="0" labelOnly="1" outline="0" fieldPosition="0">
        <references count="1">
          <reference field="4294967294" count="2">
            <x v="0"/>
            <x v="1"/>
          </reference>
        </references>
      </pivotArea>
    </format>
  </format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uri="{962EF5D1-5CA2-4c93-8EF4-DBF5C05439D2}">
      <x14:pivotTableDefinition hideValuesRow="1"/>
    </ext>
    <ex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14="http://schemas.microsoft.com/office/spreadsheetml/2009/9/main" xmlns:xpdl="http://schemas.microsoft.com/office/spreadsheetml/2016/pivotdefaultlayout" xmlns:xr="http://schemas.microsoft.com/office/spreadsheetml/2014/revision" mc:Ignorable="xr" xr:uid="{D26067F7-6D27-48FC-8D4C-69E4742A016E}" name="RisksByTreatmentOption" cacheId="6"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6:C7" firstHeaderRow="1" firstDataRow="1" firstDataCol="1"/>
  <pivotFields count="29">
    <pivotField compact="0" outline="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4"/>
  </rowFields>
  <rowItems count="1">
    <i>
      <x/>
    </i>
  </rowItems>
  <colItems count="1">
    <i/>
  </colItems>
  <dataFields count="1">
    <dataField name="عدد المخاطر" fld="1" subtotal="count" baseField="0" baseItem="0"/>
  </dataFields>
  <formats count="4">
    <format dxfId="97">
      <pivotArea field="14" type="button" dataOnly="0" labelOnly="1" outline="0" axis="axisRow" fieldPosition="0"/>
    </format>
    <format dxfId="96">
      <pivotArea dataOnly="0" labelOnly="1" outline="0" axis="axisValues" fieldPosition="0"/>
    </format>
    <format dxfId="95">
      <pivotArea field="14" type="button" dataOnly="0" labelOnly="1" outline="0" axis="axisRow" fieldPosition="0"/>
    </format>
    <format dxfId="94">
      <pivotArea dataOnly="0" labelOnly="1" outline="0" axis="axisValues" fieldPosition="0"/>
    </format>
  </formats>
  <chartFormats count="2">
    <chartFormat chart="2" format="18" series="1">
      <pivotArea type="data" outline="0" fieldPosition="0">
        <references count="1">
          <reference field="4294967294" count="1" selected="0">
            <x v="0"/>
          </reference>
        </references>
      </pivotArea>
    </chartFormat>
    <chartFormat chart="2" format="2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uri="{962EF5D1-5CA2-4c93-8EF4-DBF5C05439D2}">
      <x14:pivotTableDefinition hideValuesRow="1"/>
    </ext>
    <ex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14="http://schemas.microsoft.com/office/spreadsheetml/2009/9/main" xmlns:xpdl="http://schemas.microsoft.com/office/spreadsheetml/2016/pivotdefaultlayout" xmlns:xr="http://schemas.microsoft.com/office/spreadsheetml/2014/revision" mc:Ignorable="xr" xr:uid="{5ED2D984-D089-4D43-84DD-2CCEF17FD514}" name="TreatmentCosts" cacheId="6"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B6:C7" firstHeaderRow="1" firstDataRow="1" firstDataCol="1"/>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3"/>
  </rowFields>
  <rowItems count="1">
    <i>
      <x/>
    </i>
  </rowItems>
  <colItems count="1">
    <i/>
  </colItems>
  <dataFields count="1">
    <dataField name="مجموع تكلفة المعالجة" fld="17" baseField="11" baseItem="0" numFmtId="3"/>
  </dataFields>
  <formats count="5">
    <format dxfId="93">
      <pivotArea field="13" type="button" dataOnly="0" labelOnly="1" outline="0" axis="axisRow" fieldPosition="0"/>
    </format>
    <format dxfId="92">
      <pivotArea dataOnly="0" labelOnly="1" outline="0" axis="axisValues" fieldPosition="0"/>
    </format>
    <format dxfId="91">
      <pivotArea field="13" type="button" dataOnly="0" labelOnly="1" outline="0" axis="axisRow" fieldPosition="0"/>
    </format>
    <format dxfId="90">
      <pivotArea dataOnly="0" labelOnly="1" outline="0" axis="axisValues" fieldPosition="0"/>
    </format>
    <format dxfId="89">
      <pivotArea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uri="{962EF5D1-5CA2-4c93-8EF4-DBF5C05439D2}">
      <x14:pivotTableDefinition hideValuesRow="1"/>
    </ext>
    <ex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14="http://schemas.microsoft.com/office/spreadsheetml/2009/9/main" xmlns:xpdl="http://schemas.microsoft.com/office/spreadsheetml/2016/pivotdefaultlayout" xmlns:xr="http://schemas.microsoft.com/office/spreadsheetml/2014/revision" mc:Ignorable="xr" xr:uid="{CF93C23E-6635-489C-BA68-88DD7950879F}" name="TreatmentActionOwner" cacheId="6"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B6:C8" firstHeaderRow="1" firstDataRow="2" firstDataCol="1"/>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8"/>
  </rowFields>
  <rowItems count="1">
    <i>
      <x/>
    </i>
  </rowItems>
  <colFields count="1">
    <field x="13"/>
  </colFields>
  <colItems count="1">
    <i>
      <x/>
    </i>
  </colItems>
  <dataFields count="1">
    <dataField name="عدد المخاطر" fld="18" subtotal="count" baseField="0" baseItem="0"/>
  </dataFields>
  <formats count="10">
    <format dxfId="88">
      <pivotArea type="origin" dataOnly="0" labelOnly="1" outline="0" fieldPosition="0"/>
    </format>
    <format dxfId="87">
      <pivotArea field="13" type="button" dataOnly="0" labelOnly="1" outline="0" axis="axisCol" fieldPosition="0"/>
    </format>
    <format dxfId="86">
      <pivotArea type="topRight" dataOnly="0" labelOnly="1" outline="0" fieldPosition="0"/>
    </format>
    <format dxfId="85">
      <pivotArea field="18" type="button" dataOnly="0" labelOnly="1" outline="0" axis="axisRow" fieldPosition="0"/>
    </format>
    <format dxfId="84">
      <pivotArea dataOnly="0" labelOnly="1" outline="0" fieldPosition="0">
        <references count="1">
          <reference field="13" count="0"/>
        </references>
      </pivotArea>
    </format>
    <format dxfId="83">
      <pivotArea type="origin" dataOnly="0" labelOnly="1" outline="0" fieldPosition="0"/>
    </format>
    <format dxfId="82">
      <pivotArea field="13" type="button" dataOnly="0" labelOnly="1" outline="0" axis="axisCol" fieldPosition="0"/>
    </format>
    <format dxfId="81">
      <pivotArea type="topRight" dataOnly="0" labelOnly="1" outline="0" fieldPosition="0"/>
    </format>
    <format dxfId="80">
      <pivotArea field="18" type="button" dataOnly="0" labelOnly="1" outline="0" axis="axisRow" fieldPosition="0"/>
    </format>
    <format dxfId="79">
      <pivotArea dataOnly="0" labelOnly="1" outline="0" fieldPosition="0">
        <references count="1">
          <reference field="13" count="0"/>
        </references>
      </pivotArea>
    </format>
  </formats>
  <chartFormats count="1">
    <chartFormat chart="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uri="{962EF5D1-5CA2-4c93-8EF4-DBF5C05439D2}">
      <x14:pivotTableDefinition hideValuesRow="1"/>
    </ext>
    <ex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14="http://schemas.microsoft.com/office/spreadsheetml/2009/9/main" xmlns:xpdl="http://schemas.microsoft.com/office/spreadsheetml/2016/pivotdefaultlayout" xmlns:xr="http://schemas.microsoft.com/office/spreadsheetml/2014/revision" mc:Ignorable="xr" xr:uid="{CA7BCC62-60D1-4133-86FC-C9F99ED56F94}" name="PivotTable17"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8:K11" firstHeaderRow="1" firstDataRow="2" firstDataCol="1"/>
  <pivotFields count="29">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axis="axisCol"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i>
    <i t="grand">
      <x/>
    </i>
  </rowItems>
  <colFields count="1">
    <field x="13"/>
  </colFields>
  <colItems count="2">
    <i>
      <x/>
    </i>
    <i t="grand">
      <x/>
    </i>
  </colItems>
  <dataFields count="1">
    <dataField name="عدد المخاطر" fld="13" subtotal="count" baseField="0" baseItem="0"/>
  </dataFields>
  <formats count="24">
    <format dxfId="25">
      <pivotArea type="origin" dataOnly="0" labelOnly="1" outline="0" fieldPosition="0"/>
    </format>
    <format dxfId="24">
      <pivotArea field="13" type="button" dataOnly="0" labelOnly="1" outline="0" axis="axisCol" fieldPosition="0"/>
    </format>
    <format dxfId="23">
      <pivotArea type="topRight" dataOnly="0" labelOnly="1" outline="0" fieldPosition="0"/>
    </format>
    <format dxfId="22">
      <pivotArea field="6" type="button" dataOnly="0" labelOnly="1" outline="0" axis="axisRow" fieldPosition="0"/>
    </format>
    <format dxfId="21">
      <pivotArea dataOnly="0" labelOnly="1" fieldPosition="0">
        <references count="1">
          <reference field="13" count="0"/>
        </references>
      </pivotArea>
    </format>
    <format dxfId="20">
      <pivotArea dataOnly="0" labelOnly="1" grandCol="1" outline="0" fieldPosition="0"/>
    </format>
    <format dxfId="19">
      <pivotArea grandRow="1" outline="0" collapsedLevelsAreSubtotals="1" fieldPosition="0"/>
    </format>
    <format dxfId="18">
      <pivotArea dataOnly="0" labelOnly="1" grandRow="1" outline="0" fieldPosition="0"/>
    </format>
    <format dxfId="17">
      <pivotArea type="origin" dataOnly="0" labelOnly="1" outline="0" fieldPosition="0"/>
    </format>
    <format dxfId="16">
      <pivotArea field="13" type="button" dataOnly="0" labelOnly="1" outline="0" axis="axisCol" fieldPosition="0"/>
    </format>
    <format dxfId="15">
      <pivotArea type="topRight" dataOnly="0" labelOnly="1" outline="0" fieldPosition="0"/>
    </format>
    <format dxfId="14">
      <pivotArea field="6" type="button" dataOnly="0" labelOnly="1" outline="0" axis="axisRow" fieldPosition="0"/>
    </format>
    <format dxfId="13">
      <pivotArea dataOnly="0" labelOnly="1" fieldPosition="0">
        <references count="1">
          <reference field="13" count="0"/>
        </references>
      </pivotArea>
    </format>
    <format dxfId="12">
      <pivotArea dataOnly="0" labelOnly="1" grandCol="1" outline="0" fieldPosition="0"/>
    </format>
    <format dxfId="11">
      <pivotArea grandRow="1" outline="0" collapsedLevelsAreSubtotals="1" fieldPosition="0"/>
    </format>
    <format dxfId="10">
      <pivotArea dataOnly="0" labelOnly="1" grandRow="1" outline="0" fieldPosition="0"/>
    </format>
    <format dxfId="9">
      <pivotArea type="origin" dataOnly="0" labelOnly="1" outline="0" fieldPosition="0"/>
    </format>
    <format dxfId="8">
      <pivotArea field="13" type="button" dataOnly="0" labelOnly="1" outline="0" axis="axisCol" fieldPosition="0"/>
    </format>
    <format dxfId="7">
      <pivotArea type="topRight" dataOnly="0" labelOnly="1" outline="0" fieldPosition="0"/>
    </format>
    <format dxfId="6">
      <pivotArea field="6" type="button" dataOnly="0" labelOnly="1" outline="0" axis="axisRow" fieldPosition="0"/>
    </format>
    <format dxfId="5">
      <pivotArea dataOnly="0" labelOnly="1" fieldPosition="0">
        <references count="1">
          <reference field="13" count="0"/>
        </references>
      </pivotArea>
    </format>
    <format dxfId="4">
      <pivotArea dataOnly="0" labelOnly="1" grandCol="1" outline="0" fieldPosition="0"/>
    </format>
    <format dxfId="3">
      <pivotArea grandRow="1" outline="0" collapsedLevelsAreSubtotals="1" fieldPosition="0"/>
    </format>
    <format dxfId="2">
      <pivotArea dataOnly="0" labelOnly="1" grandRow="1" outline="0" fieldPosition="0"/>
    </format>
  </formats>
  <pivotTableStyleInfo name="PivotStyleLight16" showRowHeaders="1" showColHeaders="1" showRowStripes="0" showColStripes="0" showLastColumn="1"/>
  <extLst>
    <ext uri="{962EF5D1-5CA2-4c93-8EF4-DBF5C05439D2}">
      <x14:pivotTableDefinition hideValuesRow="1"/>
    </ext>
    <ex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14="http://schemas.microsoft.com/office/spreadsheetml/2009/9/main" xmlns:xpdl="http://schemas.microsoft.com/office/spreadsheetml/2016/pivotdefaultlayout" xmlns:xr="http://schemas.microsoft.com/office/spreadsheetml/2014/revision" mc:Ignorable="xr" xr:uid="{D493C2A2-B932-4927-9362-69868D20801B}" name="PivotTable16"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8:D11" firstHeaderRow="1" firstDataRow="2" firstDataCol="1"/>
  <pivotFields count="29">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axis="axisCol"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i>
    <i t="grand">
      <x/>
    </i>
  </rowItems>
  <colFields count="1">
    <field x="13"/>
  </colFields>
  <colItems count="2">
    <i>
      <x/>
    </i>
    <i t="grand">
      <x/>
    </i>
  </colItems>
  <dataFields count="1">
    <dataField name="عدد المخاطر" fld="13" subtotal="count" baseField="0" baseItem="0"/>
  </dataFields>
  <formats count="23">
    <format dxfId="48">
      <pivotArea type="origin" dataOnly="0" labelOnly="1" outline="0" fieldPosition="0"/>
    </format>
    <format dxfId="47">
      <pivotArea field="13" type="button" dataOnly="0" labelOnly="1" outline="0" axis="axisCol" fieldPosition="0"/>
    </format>
    <format dxfId="46">
      <pivotArea type="topRight" dataOnly="0" labelOnly="1" outline="0" fieldPosition="0"/>
    </format>
    <format dxfId="45">
      <pivotArea field="5" type="button" dataOnly="0" labelOnly="1" outline="0" axis="axisRow" fieldPosition="0"/>
    </format>
    <format dxfId="44">
      <pivotArea dataOnly="0" labelOnly="1" fieldPosition="0">
        <references count="1">
          <reference field="13" count="0"/>
        </references>
      </pivotArea>
    </format>
    <format dxfId="43">
      <pivotArea dataOnly="0" labelOnly="1" grandCol="1" outline="0" fieldPosition="0"/>
    </format>
    <format dxfId="42">
      <pivotArea type="origin" dataOnly="0" labelOnly="1" outline="0" fieldPosition="0"/>
    </format>
    <format dxfId="41">
      <pivotArea field="13" type="button" dataOnly="0" labelOnly="1" outline="0" axis="axisCol" fieldPosition="0"/>
    </format>
    <format dxfId="40">
      <pivotArea type="topRight" dataOnly="0" labelOnly="1" outline="0" fieldPosition="0"/>
    </format>
    <format dxfId="39">
      <pivotArea field="5" type="button" dataOnly="0" labelOnly="1" outline="0" axis="axisRow" fieldPosition="0"/>
    </format>
    <format dxfId="38">
      <pivotArea dataOnly="0" labelOnly="1" fieldPosition="0">
        <references count="1">
          <reference field="13" count="0"/>
        </references>
      </pivotArea>
    </format>
    <format dxfId="37">
      <pivotArea dataOnly="0" labelOnly="1" grandCol="1" outline="0" fieldPosition="0"/>
    </format>
    <format dxfId="36">
      <pivotArea outline="0" collapsedLevelsAreSubtotals="1" fieldPosition="0"/>
    </format>
    <format dxfId="35">
      <pivotArea dataOnly="0" grandRow="1" fieldPosition="0"/>
    </format>
    <format dxfId="34">
      <pivotArea dataOnly="0" grandRow="1" fieldPosition="0"/>
    </format>
    <format dxfId="33">
      <pivotArea type="origin" dataOnly="0" labelOnly="1" outline="0" fieldPosition="0"/>
    </format>
    <format dxfId="32">
      <pivotArea field="13" type="button" dataOnly="0" labelOnly="1" outline="0" axis="axisCol" fieldPosition="0"/>
    </format>
    <format dxfId="31">
      <pivotArea type="topRight" dataOnly="0" labelOnly="1" outline="0" fieldPosition="0"/>
    </format>
    <format dxfId="30">
      <pivotArea field="5" type="button" dataOnly="0" labelOnly="1" outline="0" axis="axisRow" fieldPosition="0"/>
    </format>
    <format dxfId="29">
      <pivotArea dataOnly="0" labelOnly="1" fieldPosition="0">
        <references count="1">
          <reference field="13" count="0"/>
        </references>
      </pivotArea>
    </format>
    <format dxfId="28">
      <pivotArea dataOnly="0" labelOnly="1" grandCol="1" outline="0" fieldPosition="0"/>
    </format>
    <format dxfId="27">
      <pivotArea grandRow="1" outline="0" collapsedLevelsAreSubtotals="1" fieldPosition="0"/>
    </format>
    <format dxfId="26">
      <pivotArea dataOnly="0" labelOnly="1" grandRow="1" outline="0" fieldPosition="0"/>
    </format>
  </formats>
  <pivotTableStyleInfo name="PivotStyleLight16" showRowHeaders="1" showColHeaders="1" showRowStripes="0" showColStripes="0" showLastColumn="1"/>
  <extLst>
    <ext uri="{962EF5D1-5CA2-4c93-8EF4-DBF5C05439D2}">
      <x14:pivotTableDefinition hideValuesRow="1"/>
    </ext>
    <ex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14="http://schemas.microsoft.com/office/spreadsheetml/2009/9/main" xmlns:xpdl="http://schemas.microsoft.com/office/spreadsheetml/2016/pivotdefaultlayout" xmlns:xr="http://schemas.microsoft.com/office/spreadsheetml/2014/revision" mc:Ignorable="xr" xr:uid="{7A74CC4C-9E8D-42E1-8983-8A9426B1F6C6}" name="PivotTable19"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R15:S17"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
    <i>
      <x/>
    </i>
    <i t="grand">
      <x/>
    </i>
  </rowItems>
  <colItems count="1">
    <i/>
  </colItems>
  <dataFields count="1">
    <dataField name="مجموع تكلفة المعالجة" fld="17" baseField="11" baseItem="0"/>
  </dataFields>
  <formats count="11">
    <format dxfId="59">
      <pivotArea field="13" type="button" dataOnly="0" labelOnly="1" outline="0" axis="axisRow" fieldPosition="0"/>
    </format>
    <format dxfId="58">
      <pivotArea dataOnly="0" labelOnly="1" outline="0" axis="axisValues" fieldPosition="0"/>
    </format>
    <format dxfId="57">
      <pivotArea field="13" type="button" dataOnly="0" labelOnly="1" outline="0" axis="axisRow" fieldPosition="0"/>
    </format>
    <format dxfId="56">
      <pivotArea dataOnly="0" labelOnly="1" outline="0" axis="axisValues" fieldPosition="0"/>
    </format>
    <format dxfId="55">
      <pivotArea dataOnly="0" grandRow="1" fieldPosition="0"/>
    </format>
    <format dxfId="54">
      <pivotArea dataOnly="0" grandRow="1" fieldPosition="0"/>
    </format>
    <format dxfId="53">
      <pivotArea grandRow="1" outline="0" collapsedLevelsAreSubtotals="1" fieldPosition="0"/>
    </format>
    <format dxfId="52">
      <pivotArea dataOnly="0" labelOnly="1" grandRow="1" outline="0" fieldPosition="0"/>
    </format>
    <format dxfId="51">
      <pivotArea field="13" type="button" dataOnly="0" labelOnly="1" outline="0" axis="axisRow" fieldPosition="0"/>
    </format>
    <format dxfId="50">
      <pivotArea dataOnly="0" labelOnly="1" outline="0" axis="axisValues" fieldPosition="0"/>
    </format>
    <format dxfId="49">
      <pivotArea dataOnly="0" grandRow="1" fieldPosition="0"/>
    </format>
  </formats>
  <pivotTableStyleInfo name="PivotStyleLight16" showRowHeaders="1" showColHeaders="1" showRowStripes="0" showColStripes="0" showLastColumn="1"/>
  <extLst>
    <ext uri="{962EF5D1-5CA2-4c93-8EF4-DBF5C05439D2}">
      <x14:pivotTableDefinition hideValuesRow="1"/>
    </ext>
    <ex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60EF14-5AF2-430F-82E8-406C72E477E0}" name="PivotTable18"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O8:O1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2">
    <i>
      <x/>
    </i>
    <i t="grand">
      <x/>
    </i>
  </rowItems>
  <colItems count="1">
    <i/>
  </colItems>
  <formats count="11">
    <format dxfId="70">
      <pivotArea dataOnly="0" labelOnly="1" outline="0" axis="axisValues" fieldPosition="0"/>
    </format>
    <format dxfId="69">
      <pivotArea field="14" type="button" dataOnly="0" labelOnly="1" outline="0" axis="axisRow" fieldPosition="0"/>
    </format>
    <format dxfId="68">
      <pivotArea dataOnly="0" labelOnly="1" outline="0" axis="axisValues" fieldPosition="0"/>
    </format>
    <format dxfId="67">
      <pivotArea field="14" type="button" dataOnly="0" labelOnly="1" outline="0" axis="axisRow" fieldPosition="0"/>
    </format>
    <format dxfId="66">
      <pivotArea dataOnly="0" labelOnly="1" outline="0" axis="axisValues" fieldPosition="0"/>
    </format>
    <format dxfId="65">
      <pivotArea grandRow="1" outline="0" collapsedLevelsAreSubtotals="1" fieldPosition="0"/>
    </format>
    <format dxfId="64">
      <pivotArea dataOnly="0" labelOnly="1" grandRow="1" outline="0" fieldPosition="0"/>
    </format>
    <format dxfId="63">
      <pivotArea grandRow="1" outline="0" collapsedLevelsAreSubtotals="1" fieldPosition="0"/>
    </format>
    <format dxfId="62">
      <pivotArea dataOnly="0" labelOnly="1" grandRow="1" outline="0" fieldPosition="0"/>
    </format>
    <format dxfId="61">
      <pivotArea field="14" type="button" dataOnly="0" labelOnly="1" outline="0" axis="axisRow" fieldPosition="0"/>
    </format>
    <format dxfId="6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Owner" xr10:uid="{1E430D03-4FE4-41F1-84BE-FD21D4C3F14F}" sourceName="Risk Owner">
  <extLst>
    <x:ext xmlns:x15="http://schemas.microsoft.com/office/spreadsheetml/2010/11/main" uri="{2F2917AC-EB37-4324-AD4E-5DD8C200BD13}">
      <x15:tableSlicerCache tableId="7"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ACDB34EB-DA71-41CC-815D-FFB347B7F691}" sourceName="Risk Level">
  <extLst>
    <x:ext xmlns:x15="http://schemas.microsoft.com/office/spreadsheetml/2010/11/main" uri="{2F2917AC-EB37-4324-AD4E-5DD8C200BD13}">
      <x15:tableSlicerCache tableId="7" column="2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option_chosen" xr10:uid="{7F65085F-9CB2-4053-A0B2-093521C1011F}" sourceName="Treatment Option Chosen">
  <extLst>
    <x:ext xmlns:x15="http://schemas.microsoft.com/office/spreadsheetml/2010/11/main" uri="{2F2917AC-EB37-4324-AD4E-5DD8C200BD13}">
      <x15:tableSlicerCache tableId="7" column="2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Owner" xr10:uid="{7AC51F6C-2D3B-4EE3-A271-BEC3C7862A31}" sourceName="Treatment Action Owner">
  <extLst>
    <x:ext xmlns:x15="http://schemas.microsoft.com/office/spreadsheetml/2010/11/main" uri="{2F2917AC-EB37-4324-AD4E-5DD8C200BD13}">
      <x15:tableSlicerCache tableId="7"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Status" xr10:uid="{E0AD7BE7-C061-4B70-8D4B-954A3D137A1E}" sourceName="Treatment Action Status">
  <extLst>
    <x:ext xmlns:x15="http://schemas.microsoft.com/office/spreadsheetml/2010/11/main" uri="{2F2917AC-EB37-4324-AD4E-5DD8C200BD13}">
      <x15:tableSlicerCache tableId="7" column="1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reatment_Risk_Level" xr10:uid="{57A278B4-62CC-4D0E-8B69-848B1549730D}" sourceName="Post-Treatment Risk Level">
  <extLst>
    <x:ext xmlns:x15="http://schemas.microsoft.com/office/spreadsheetml/2010/11/main" uri="{2F2917AC-EB37-4324-AD4E-5DD8C200BD13}">
      <x15:tableSlicerCache tableId="7" column="3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Owner" xr10:uid="{450BFEC9-50CC-4E66-A516-7B198AD50D35}" cache="Slicer_Risk_Owner" caption="مالك الخطر" style="مقسم ISMS 2" rowHeight="241300"/>
  <slicer name="Risk level" xr10:uid="{E70FB1F9-5DCB-4E00-B3B9-BC105490AFFC}" cache="Slicer_Risk_level" caption="مستوى الخطر" style="مقسم ISMS 2" rowHeight="241300"/>
  <slicer name="Treatment option chosen 2" xr10:uid="{D089F5CA-DA1B-477E-A6DE-C0274D5E7FDF}" cache="Slicer_Treatment_option_chosen" caption="خيار المعالجة المختار" style="مقسم ISMS 2" rowHeight="241300"/>
  <slicer name="Treatment Action Owner 1" xr10:uid="{D2DCCA03-CB0D-48E4-814F-44AEF6BDDF22}" cache="Slicer_Treatment_Action_Owner" caption="مسؤول إجراء المعالجة" style="مقسم ISMS 2" rowHeight="241300"/>
  <slicer name="Treatment Action Status 1" xr10:uid="{3CE09EDA-8080-4AA7-BFBD-53772DAA8DB8}" cache="Slicer_Treatment_Action_Status" caption="حالة إجراء المعالجة" style="مقسم ISMS 2" rowHeight="241300"/>
  <slicer name="Post-Treatment Risk Level" xr10:uid="{5A1B27FD-AF30-402A-A993-743243C18186}" cache="Slicer_Post_Treatment_Risk_Level" caption="مستوى الخطر بعد المعالجة" style="مقسم ISMS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RiskAssessment" displayName="RiskAssessment" ref="B13:AD45" totalsRowShown="0" headerRowDxfId="155" dataDxfId="154">
  <autoFilter ref="B13:AD45"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7780B8FA-8743-4524-865B-12BD63D2056E}" name="المرجع" dataDxfId="153"/>
    <tableColumn id="2" xr3:uid="{3278FB7C-91F3-417D-B3D1-6874CF833910}" name="مجموعة الأصل" dataDxfId="152"/>
    <tableColumn id="14" xr3:uid="{A53DA3AA-36F7-400B-A24B-61AFD64480AC}" name="الأصل" dataDxfId="151"/>
    <tableColumn id="18" xr3:uid="{1511B5E3-B2A9-4480-B286-EADDA60D8391}" name="التهديد" dataDxfId="150"/>
    <tableColumn id="19" xr3:uid="{B7C45012-4C1A-4DA9-8F5B-7B0DFE5D4ADF}" name="نقطة الضعف" dataDxfId="149"/>
    <tableColumn id="5" xr3:uid="{7E2C2527-E2E7-4FED-AC15-82969BEEA9D8}" name="نوع الخطر" dataDxfId="148"/>
    <tableColumn id="6" xr3:uid="{5BD50508-B827-4940-BEA7-24745396DADF}" name="مالك الخطر" dataDxfId="147"/>
    <tableColumn id="7" xr3:uid="{88F4F6C4-C558-4511-BD94-F92314B01A77}" name="الضوابط القائمة" dataDxfId="146"/>
    <tableColumn id="8" xr3:uid="{0AA282DC-3088-4338-80C5-2EF25A907C36}" name="الاحتمالية" dataDxfId="145"/>
    <tableColumn id="9" xr3:uid="{84AE39E5-D4CF-48F2-AE20-B65A24BC706B}" name="مبرر الاحتمالية" dataDxfId="144"/>
    <tableColumn id="10" xr3:uid="{CA483CC8-0A9F-49F4-8467-9C42A0694C13}" name="التأثير" dataDxfId="143"/>
    <tableColumn id="11" xr3:uid="{CFD1BC19-E865-4532-B678-79A520B128C6}" name="مبرر التأثير" dataDxfId="142"/>
    <tableColumn id="12" xr3:uid="{B7F199D4-99F3-4A9C-9D92-102D2EF262D7}" name="درجة الخطر" dataDxfId="141">
      <calculatedColumnFormula>IFERROR(RiskAssessment[[#This Row],[Likelihood]]*RiskAssessment[[#This Row],[Impact]],"Calculated")</calculatedColumnFormula>
    </tableColumn>
    <tableColumn id="26" xr3:uid="{92D3F116-E810-44D0-9D9E-7FBEB1DEB8D8}" name="مستوى الخطر" dataDxfId="140">
      <calculatedColumnFormula>IF(N14="Calculated", "Calculated", IF(N14&gt;11, " HIGH",IF(N14&gt;4," MEDIUM"," LOW")))</calculatedColumnFormula>
    </tableColumn>
    <tableColumn id="25" xr3:uid="{4A288FE7-5236-47D2-A80C-C3EFE89D249B}" name="خيار المعالجة المختار" dataDxfId="139"/>
    <tableColumn id="24" xr3:uid="{E68F9F93-9B81-4C6A-A901-3CB89BBDB0C3}" name="إجراء المعالجة المقترح" dataDxfId="138"/>
    <tableColumn id="13" xr3:uid="{797EBABE-8B9B-4A04-AED5-FD6E9F5FA88F}" name="مرجع الضابط - الملحق A" dataDxfId="137"/>
    <tableColumn id="3" xr3:uid="{9899C2E4-A8EF-4E7C-91BC-56AEC3605BDB}" name="تكلفة المعالجة" dataDxfId="136"/>
    <tableColumn id="4" xr3:uid="{63FCA63E-37BE-41EE-855A-DDCB2528FE79}" name="مسؤول إجراء المعالجة" dataDxfId="135"/>
    <tableColumn id="15" xr3:uid="{FE9D1397-7F83-4072-BC01-DC4A10C3AC1B}" name="الموعد المستهدف للإجراء" dataDxfId="134"/>
    <tableColumn id="17" xr3:uid="{B7628829-460A-4E1B-A225-CC60743DDDC9}" name="نسبة إنجاز الإجراء" dataDxfId="133"/>
    <tableColumn id="16" xr3:uid="{D8785450-9FE7-4D1F-B472-FBA3922839CE}" name="حالة الإجراء" dataDxfId="132"/>
    <tableColumn id="23" xr3:uid="{0C955E08-3829-43CE-AD97-7CAC6D3BE74A}" name="الاحتمالية بعد المعالجة" dataDxfId="131"/>
    <tableColumn id="22" xr3:uid="{FC0F7D48-D51C-4F43-B569-3F3866789458}" name="مبرر الاحتمالية بعد المعالجة" dataDxfId="130"/>
    <tableColumn id="20" xr3:uid="{8099D3FF-BFC9-4F1E-8F43-237A9CAEC5F4}" name="التأثير بعد المعالجة" dataDxfId="129"/>
    <tableColumn id="34" xr3:uid="{A042F55B-EB28-4B01-BDE5-0C5066129EAD}" name="مبرر التأثير بعد المعالجة" dataDxfId="128"/>
    <tableColumn id="33" xr3:uid="{77FF60DC-16CE-4E05-B011-A7DAE2503C53}" name="درجة الخطر بعد المعالجة" dataDxfId="127">
      <calculatedColumnFormula>IFERROR(RiskAssessment[[#This Row],[Post-Treatment Likelihood]]*RiskAssessment[[#This Row],[Post- Treatment Impact]],"Calculated")</calculatedColumnFormula>
    </tableColumn>
    <tableColumn id="32" xr3:uid="{02FDD454-ECC7-411C-896E-F510AA417304}" name="مستوى الخطر بعد المعالجة" dataDxfId="126">
      <calculatedColumnFormula>IF(AB14="Calculated", "Calculated", IF(AB14&gt;11, " HIGH",IF(AB14&gt;4," MEDIUM"," LOW")))</calculatedColumnFormula>
    </tableColumn>
    <tableColumn id="31" xr3:uid="{6F81B6AE-B322-464A-9CA3-F6649B4E74FA}" name="ملاحظات" dataDxfId="125"/>
  </tableColumns>
  <tableStyleInfo name="نمط جدول ISMS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3098D6-4E26-42EF-B867-11B7A180FF01}" name="PreTreatmentRisksByRiskLevel" displayName="PreTreatmentRisksByRiskLevel" ref="B6:C10" totalsRowShown="0" headerRowDxfId="118">
  <autoFilter ref="B6:C10" xr:uid="{6DD72213-C7C7-4475-81A9-957D67691275}"/>
  <tableColumns count="2">
    <tableColumn id="1" xr3:uid="{FB643B66-CD9F-4AE4-BE24-8E9BB8A598B3}" name="مستوى الخطر"/>
    <tableColumn id="2" xr3:uid="{431A049C-CEE8-4AED-A122-0554E1196028}" name="قبل المعالجة" dataDxfId="11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42B2A87-CAB5-4B08-95F2-F52E908347A4}" name="RisksByRiskLevelPreandPostTreatment10" displayName="RisksByRiskLevelPreandPostTreatment10" ref="B6:C10" totalsRowShown="0" headerRowDxfId="106">
  <autoFilter ref="B6:C10" xr:uid="{58B6FB75-1772-4E97-8BB0-09A2610DA359}"/>
  <tableColumns count="2">
    <tableColumn id="1" xr3:uid="{060FE462-9CBB-476C-A515-C7814AC430E9}" name="مستوى الخطر"/>
    <tableColumn id="3" xr3:uid="{8B930A52-980E-4015-A09E-7AE896EC2DA9}" name="بعد المعالجة" dataDxfId="105"/>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04AEFD6-F146-444E-8857-991236F1E58D}" name="PreMitigationRisksByRiskLevel10" displayName="PreMitigationRisksByRiskLevel10" ref="B6:D10" totalsRowShown="0" headerRowDxfId="100">
  <autoFilter ref="B6:D10" xr:uid="{1C2041F9-A7AF-4536-A9F3-B5F1DC471D08}"/>
  <tableColumns count="3">
    <tableColumn id="1" xr3:uid="{4BCDBDEA-07E5-417B-8555-2DB6730C7156}" name="مستوى الخطر"/>
    <tableColumn id="2" xr3:uid="{B9F5D0BE-47D8-41B6-9E6A-B89B087E76CE}" name="قبل المعالجة" dataDxfId="99"/>
    <tableColumn id="3" xr3:uid="{729B54DD-5446-4A03-AA73-E8050E6B0473}" name="بعد المعالجة" dataDxfId="98"/>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7D71F-7096-44AD-865E-C4E925D95B25}" name="OnetoFive" displayName="OnetoFive" ref="B6:B11" totalsRowShown="0" headerRowDxfId="78" dataDxfId="77">
  <autoFilter ref="B6:B11" xr:uid="{53E7F917-CE3C-45CA-BA10-709121A44293}">
    <filterColumn colId="0" hiddenButton="1"/>
  </autoFilter>
  <tableColumns count="1">
    <tableColumn id="1" xr3:uid="{5364270F-A323-40A1-A90B-30119CD587D5}" name="من 1 إلى 5" dataDxfId="76"/>
  </tableColumns>
  <tableStyleInfo name="نمط جدول ISMS"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6DD06-659A-4CDF-A327-841FDA7D159C}" name="Options" displayName="Options" ref="E6:E10" totalsRowShown="0" headerRowDxfId="75">
  <autoFilter ref="E6:E10" xr:uid="{45576131-8111-4F4B-847C-3395F8FC4342}">
    <filterColumn colId="0" hiddenButton="1"/>
  </autoFilter>
  <tableColumns count="1">
    <tableColumn id="1" xr3:uid="{40850E87-988C-4D35-BD9B-533BCAD5ED19}" name="خيارات المعالجة"/>
  </tableColumns>
  <tableStyleInfo name="نمط جدول ISMS"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5E1B08-FAE0-4FCE-8763-AA005675F917}" name="Table5" displayName="Table5" ref="B15:B22" totalsRowShown="0" headerRowDxfId="74" dataDxfId="73">
  <autoFilter ref="B15:B22" xr:uid="{ADC1EFD5-3350-4072-8EF2-5133E8CE6D2E}">
    <filterColumn colId="0" hiddenButton="1"/>
  </autoFilter>
  <tableColumns count="1">
    <tableColumn id="1" xr3:uid="{E0E30E6C-8C77-4094-A54C-089E8B9C4815}" name="نوع الخطر" dataDxfId="72"/>
  </tableColumns>
  <tableStyleInfo name="نمط جدول ISMS"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0F055B-5234-481D-A432-2E632EDD7D6E}" name="Table4" displayName="Table4" ref="E15:E19" totalsRowShown="0" headerRowDxfId="71">
  <autoFilter ref="E15:E19" xr:uid="{1A728688-554C-4C39-81EA-DFD5D3DCEF34}">
    <filterColumn colId="0" hiddenButton="1"/>
  </autoFilter>
  <tableColumns count="1">
    <tableColumn id="1" xr3:uid="{0D4F1FB8-5CDF-4735-B2A0-EAE98570F98E}" name="حالة إجراء المعالجة"/>
  </tableColumns>
  <tableStyleInfo name="نمط جدول ISMS"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BE1286-8DEB-4438-B0DC-4526908BB9A6}" name="Table1" displayName="Table1" ref="R8:T12" totalsRowShown="0">
  <autoFilter ref="R8:T12" xr:uid="{54D3D3B4-BC6C-4AF1-95F6-7C95CC09C77A}">
    <filterColumn colId="0" hiddenButton="1"/>
    <filterColumn colId="1" hiddenButton="1"/>
    <filterColumn colId="2" hiddenButton="1"/>
  </autoFilter>
  <tableColumns count="3">
    <tableColumn id="1" xr3:uid="{F23F1193-8162-48F6-90A7-5E21284DF35C}" name="مستوى الخطر"/>
    <tableColumn id="2" xr3:uid="{247618CA-BB68-4CFA-94FD-F8EF97D709C5}" name="قبل المعالجة" dataDxfId="1">
      <calculatedColumnFormula>COUNTIF(RiskAssessment[Risk Level],Table1[[#This Row],[Risk level]])</calculatedColumnFormula>
    </tableColumn>
    <tableColumn id="3" xr3:uid="{767FB9D4-83A3-4A52-9158-EE6C4BD19ED3}" name="بعد المعالجة" dataDxfId="0">
      <calculatedColumnFormula>COUNTIF(RiskAssessment[Post-Treatment Risk Level],Table1[[#This Row],[Risk level]])</calculatedColumnFormula>
    </tableColumn>
  </tableColumns>
  <tableStyleInfo name="نمط جدول ISMS" showFirstColumn="0" showLastColumn="0" showRowStripes="0" showColumnStripes="0"/>
</table>
</file>

<file path=xl/theme/theme1.xml><?xml version="1.0" encoding="utf-8"?>
<a:theme xmlns:a="http://schemas.openxmlformats.org/drawingml/2006/main" name="سمة بنك الآفاق الرقمية">
  <a:themeElements>
    <a:clrScheme name="ألوان بنك الآفاق الرقمية">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12.bin"/><Relationship Id="rId5" Type="http://schemas.openxmlformats.org/officeDocument/2006/relationships/table" Target="../tables/table8.xml"/><Relationship Id="rId4" Type="http://schemas.openxmlformats.org/officeDocument/2006/relationships/table" Target="../tables/table7.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9.xml"/><Relationship Id="rId5" Type="http://schemas.openxmlformats.org/officeDocument/2006/relationships/printerSettings" Target="../printerSettings/printerSettings13.bin"/><Relationship Id="rId4" Type="http://schemas.openxmlformats.org/officeDocument/2006/relationships/pivotTable" Target="../pivotTables/pivotTable11.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0692-6C49-4CEA-A5EE-F1AC41342BA0}">
  <dimension ref="A2:B28"/>
  <sheetViews>
    <sheetView showGridLines="0" tabSelected="1" zoomScaleNormal="100" workbookViewId="0"/>
  </sheetViews>
  <sheetFormatPr defaultColWidth="9.140625" defaultRowHeight="15" x14ac:dyDescent="0.25"/>
  <cols>
    <col min="1" max="1" width="2.85546875" style="3" customWidth="1"/>
    <col min="2" max="2" width="93.140625" style="3" customWidth="1"/>
    <col min="3" max="16384" width="9.140625" style="3"/>
  </cols>
  <sheetData>
    <row r="2" spans="1:2" x14ac:dyDescent="0.25">
      <c r="B2" s="4"/>
    </row>
    <row r="3" spans="1:2" x14ac:dyDescent="0.25">
      <c r="B3" s="4"/>
    </row>
    <row r="4" spans="1:2" x14ac:dyDescent="0.25">
      <c r="B4" s="4"/>
    </row>
    <row r="5" spans="1:2" x14ac:dyDescent="0.25">
      <c r="B5" s="4"/>
    </row>
    <row r="6" spans="1:2" x14ac:dyDescent="0.25">
      <c r="B6" s="4"/>
    </row>
    <row r="7" spans="1:2" x14ac:dyDescent="0.25">
      <c r="B7" s="4"/>
    </row>
    <row r="8" spans="1:2" ht="53.25" x14ac:dyDescent="0.25">
      <c r="B8" s="2" t="inlineStr">
        <is>
          <t xml:space="preserve">إرشادات التطبيق
تُستخدم هذه الأداة لتنفيذ تقييم مخاطر قائم على الأصول وفق البند 6.1.2 من المواصفة ISO/IEC 27001:2022، وإعداد خطة معالجة المخاطر المطلوبة في البند 6.1.3.</t>
        </is>
      </c>
    </row>
    <row r="10" spans="1:2" ht="111" x14ac:dyDescent="0.25">
      <c r="B10" s="2" t="inlineStr">
        <is>
          <t xml:space="preserve">التصميم
حوفظ على تصميم النموذج الأصلي وألوانه وتنسيقاته دون تغيير، واقتصر العمل على ترجمة المحتوى وتعبئته وتخصيصه لبنك الآفاق الرقمية.</t>
        </is>
      </c>
    </row>
    <row r="12" spans="1:2" ht="51" x14ac:dyDescent="0.25">
      <c r="B12" s="2" t="inlineStr">
        <is>
          <t xml:space="preserve">الغرض من هذه الوثيقة
تُستخدم هذه الأداة لتقييم مخاطر أمن المعلومات في بنك الآفاق الرقمية على أساس الأصول، بتحديد التهديدات ونقاط الضعف لكل أصل، وتقدير الاحتمالية والتأثير، واحتساب درجة الخطر ومستواه، ثم اختيار خيار المعالجة وتحديد الإجراء والمسؤول والمدة والتكلفة، وأخيراً تقدير الخطر المتبقي بعد المعالجة. وتُغذّي نتائجها كلاً من تقرير تقييم ومعالجة المخاطر (ISMS-DOC-06-3) وبيان قابلية التطبيق (ISMS-FORM-06-2).</t>
        </is>
      </c>
    </row>
    <row r="14" spans="1:2" ht="81" x14ac:dyDescent="0.25">
      <c r="A14" s="85"/>
      <c r="B14" s="2" t="inlineStr">
        <is>
          <t xml:space="preserve">الأجزاء المعالجة من المواصفة
البند 6.1.2 تقييم مخاطر أمن المعلومات
البند 6.1.3 معالجة مخاطر أمن المعلومات
البند 8.2 تقييم مخاطر أمن المعلومات (التنفيذ)
البند 8.3 معالجة مخاطر أمن المعلومات (التنفيذ)
الضابط A.5.9 جرد المعلومات والأصول المرتبطة بها
الضابط A.5.12 تصنيف المعلومات</t>
        </is>
      </c>
    </row>
    <row r="15" spans="1:2" x14ac:dyDescent="0.25">
      <c r="A15" s="85"/>
      <c r="B15" s="89"/>
    </row>
    <row r="16" spans="1:2" ht="201" x14ac:dyDescent="0.25">
      <c r="B16" s="2" t="inlineStr">
        <is>
          <t xml:space="preserve">إرشادات عامة
الهدف الرئيسي من تقييم المخاطر هو تحديد المخاطر التي تحتاج إلى معالجة وترتيب أولوياتها، لا الوصول إلى قائمة مثالية خالية من المخاطر. وقد اتُّبعت في هذا التقييم منهجية موحدة: درجة الخطر = الاحتمالية × التأثير، بمستويات: من 1 إلى 4 منخفض، ومن 5 إلى 10 متوسط، ومن 11 إلى 15 مرتفع، ومن 16 إلى 25 حرج. وهي المنهجية نفسها المعتمدة في منهجية تقييم المخاطر (RT-1) وبيان شهية المخاطر (RT-4) وتقرير تقييم المخاطر (ISMS-DOC-06-3).
وارتبط كل خطر بأصل محدد من سجل الأصول (A-001 إلى A-048)، وبضابط أو أكثر من ضوابط الملحق A، وبخطة معالجة لها مسؤول وموعد وتكلفة، وبخطر متبقٍ بعد المعالجة. وأُدخلت في التقييم نتائج الحوادث الأمنية الخمس السابقة ونتائج آخر فحص للثغرات ونتائج محاكاة التصيد، بما يجعل التقديرات مبنية على أدلة واقعية لا على افتراضات عامة.
وبلغ عدد المخاطر المسجلة 32 خطراً: 6 حرجة و9 مرتفعة و15 متوسطة و2 منخفضة قبل المعالجة، تنخفض بعد المعالجة إلى مرتفعين اثنين و13 متوسطة و17 منخفضة دون أي خطر حرج، بإجمالي تكلفة معالجة قدرها 21,295,000 ريال تُنفذ خلال الفترة 2026-2027.</t>
        </is>
      </c>
    </row>
    <row r="18" spans="2:2" ht="51" x14ac:dyDescent="0.25">
      <c r="B18" s="2" t="inlineStr">
        <is>
          <t xml:space="preserve">تكرار المراجعة
يُعاد تقييم المخاطر سنوياً ضمن دورة مراجعة الإدارة، وعند وقوع حادث أمني جسيم، أو عند تغيير جوهري في البيئة التقنية أو التنظيمية أو في نطاق النظام، أو عند إدخال خدمة أو نظام جديد. وتُراجع حالة إجراءات المعالجة شهرياً من فريق حوكمة أمن المعلومات وترفع للجنة المخاطر ربع سنوياً. آخر تقييم: 2026-03-08 إلى 2026-03-26، والتقييم القادم: 2027-03-01.</t>
        </is>
      </c>
    </row>
    <row r="20" spans="2:2" ht="36" x14ac:dyDescent="0.25">
      <c r="B20" s="2" t="inlineStr">
        <is>
          <t xml:space="preserve">إصدار الحزمة
حزمة وثائق نظام إدارة أمن المعلومات لبنك الآفاق الرقمية - الإصدار 1.0 (2026)</t>
        </is>
      </c>
    </row>
    <row r="22" spans="2:2" ht="66" x14ac:dyDescent="0.25">
      <c r="B22" s="2" t="inlineStr">
        <is>
          <t xml:space="preserve">مصدر النموذج
استُخدم نموذج جاهز من جهة متخصصة (بنك الآفاق الرقمية) كنقطة بداية لإعداد هذه الأداة، وجرى تخصيص محتواه بالكامل ليعكس بيئة بنك الآفاق الرقمية وفق دراسة الحالة المعتمدة، مع الحفاظ على القالب الأصلي ورسومه البيانية وجداوله المحورية دون إعادة تصميم.</t>
        </is>
      </c>
    </row>
    <row r="24" spans="2:2" ht="96" x14ac:dyDescent="0.25">
      <c r="B24" s="2" t="inlineStr">
        <is>
          <t xml:space="preserve">المحتوى المعتمد
جميع البيانات الواردة في هذه الأداة مشتقة من دراسة الحالة المعتمدة للمشروع ومن الافتراضات المهنية الموثقة، وهي مترابطة مع سجل الأصول وسجل المخاطر وبيان قابلية التطبيق وتقرير تقييم المخاطر وخطة استمرارية الأعمال وتقرير التدقيق الداخلي وتقرير الأداء.</t>
        </is>
      </c>
    </row>
    <row r="26" spans="2:2" ht="246" x14ac:dyDescent="0.25">
      <c r="B26" s="2" t="inlineStr">
        <is>
          <t xml:space="preserve">ملاحظة
هذه الوثيقة جزء من حزمة أكاديمية تحاكي تطبيق ISO/IEC 27001:2022 في مؤسسة مالية افتراضية، وتُستخدم لأغراض التدريب والتقييم، ولا تمثل بيانات عملاء أو أنظمة حقيقية.</t>
        </is>
      </c>
    </row>
    <row r="27" spans="2:2" ht="15.75" thickBot="1" x14ac:dyDescent="0.3">
      <c r="B27" s="35"/>
    </row>
    <row r="28" spans="2:2" ht="15.75" thickTop="1" x14ac:dyDescent="0.25"/>
  </sheetData>
  <sheetProtection selectLockedCells="1" selectUn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&amp;L&amp;D&amp;Cالصفحة &amp;P من &amp;N&amp;Rسري - استخدام داخلي</oddFooter>
  </headerFooter>
  <drawing r:id="rId2"/>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907F-E705-40D3-8D4F-BFBE2748236C}">
  <dimension ref="A2:C20"/>
  <sheetViews>
    <sheetView showGridLines="0" workbookViewId="0"/>
  </sheetViews>
  <sheetFormatPr defaultColWidth="9.140625" defaultRowHeight="15" x14ac:dyDescent="0.25"/>
  <cols>
    <col min="1" max="1" width="2.85546875" style="3" customWidth="1"/>
    <col min="2" max="2" width="25" style="3" customWidth="1"/>
    <col min="3" max="3" width="83.7109375" style="3" customWidth="1"/>
    <col min="4" max="16384" width="9.140625" style="3"/>
  </cols>
  <sheetData>
    <row r="2" spans="1:3" x14ac:dyDescent="0.25">
      <c r="B2" s="4"/>
    </row>
    <row r="3" spans="1:3" x14ac:dyDescent="0.25">
      <c r="B3" s="4"/>
    </row>
    <row r="4" spans="1:3" x14ac:dyDescent="0.25">
      <c r="B4" s="4"/>
    </row>
    <row r="5" spans="1:3" x14ac:dyDescent="0.25">
      <c r="B5" s="4"/>
    </row>
    <row r="6" spans="1:3" x14ac:dyDescent="0.25">
      <c r="B6" s="4"/>
    </row>
    <row r="8" spans="1:3" ht="21" x14ac:dyDescent="0.25">
      <c r="B8" s="10" t="inlineStr">
        <is>
          <t xml:space="preserve">تفاصيل تقييم المخاطر - بنك الآفاق الرقمية</t>
        </is>
      </c>
    </row>
    <row r="10" spans="1:3" ht="30" x14ac:dyDescent="0.25">
      <c r="A10" s="90"/>
      <c r="B10" s="28" t="inlineStr">
        <is>
          <t xml:space="preserve">التصنيف الأمني</t>
        </is>
      </c>
      <c r="C10" s="75" t="inlineStr">
        <is>
          <t xml:space="preserve">سري</t>
        </is>
      </c>
    </row>
    <row r="11" spans="1:3" ht="30" x14ac:dyDescent="0.25">
      <c r="A11" s="90"/>
      <c r="B11" s="91" t="inlineStr">
        <is>
          <t xml:space="preserve">عنوان تقييم المخاطر</t>
        </is>
      </c>
      <c r="C11" s="92" t="inlineStr">
        <is>
          <t xml:space="preserve">تقييم المخاطر القائم على الأصول لنظام إدارة أمن المعلومات (ISMS) في بنك الآفاق الرقمية - الجولة الأولى 2026</t>
        </is>
      </c>
    </row>
    <row r="12" spans="1:3" ht="30" x14ac:dyDescent="0.25">
      <c r="A12" s="90"/>
      <c r="B12" s="28" t="inlineStr">
        <is>
          <t xml:space="preserve">نطاق تقييم المخاطر</t>
        </is>
      </c>
      <c r="C12" s="75" t="inlineStr">
        <is>
          <t xml:space="preserve">يشمل نطاق نظام إدارة أمن المعلومات (ISMS) في بنك الآفاق الرقمية جميع الأنشطة والعمليات والأصول والموظفين والموردين الذين يدعمون تقديم الخدمات المصرفية الرقمية والخدمات المصرفية الأخرى في: المقر الرئيسي بالرياض (بما في ذلك مركز البيانات الرئيسي ومركز العمليات الأمنية SOC)، ومركز التعافي من الكوارث بجدة، والفروع الخمسة والعشرين في مناطق الرياض وجدة والدمام والمنطقة الشرقية، ومراكز الصراف الآلي المستقلة (75 موقعاً)، وقنوات الخدمة الرقمية (تطبيق آفاق بلس ومنصة آفاق نت)، والأنظمة الداعمة لها (نظام المعاملات المصرفية الأساسي، نظام إدارة البطاقات، نظام الدفعات الفورية، نظام كشف الاحتيال، قواعد البيانات، البنية التحتية للشبكات، وأنظمة أمن المعلومات). الحدود: الحدود المادية: مباني البنك ومراكز البيانات والفروع. الحدود المنطقية: شبكة البنك الداخلية ومناطقها المعزولة (DMZ، شبكة المدفوعات، بيئات التطوير والاختبار والإنتاج) ومنافذ الاتصال الخارجية مع ساما وشبكة المدفوعات الوطنية والبنوك المراسلة. الحدود التنظيمية: جميع الإدارات المشمولة في النطاق وموظفوها وموردوها.</t>
        </is>
      </c>
    </row>
    <row r="13" spans="1:3" ht="30" x14ac:dyDescent="0.25">
      <c r="A13" s="90"/>
      <c r="B13" s="91" t="inlineStr">
        <is>
          <t xml:space="preserve">سياق تقييم المخاطر</t>
        </is>
      </c>
      <c r="C13" s="92" t="inlineStr">
        <is>
          <t xml:space="preserve">العوامل الخارجية: إشراف البنك المركزي السعودي (ساما) وإطاره التنظيمي للأمن السيبراني، ونظام حماية البيانات الشخصية الصادر عن هيئة البيانات والذكاء الاصطناعي (سدايا)، وتوجيهات الهيئة الوطنية للأمن السيبراني، ومتطلبات مكافحة غسل الأموال وتمويل الإرهاب ومتطلبات البنوك المراسلة الدولية ومعايير PCI DSS، والمنافسة الشديدة في القطاع المصرفي الرقمي، وتزايد هجمات الفدية والتصيد وحجب الخدمة وسلسلة التوريد على القطاع المالي. العوامل الداخلية: طبيعة البنك الرقمية واعتماده الكامل على القنوات الإلكترونية لخدمة أكثر من 500,000 عميل، و2,500 موظف و25 فرعاً و150 جهاز صراف آلي، ومركز بيانات رئيسي من المستوى الثالث في الرياض ومركز تعافٍ في جدة، وميزانية أمن معلومات تبلغ 12 مليون ريال ترتفع إلى 18 مليون ريال، وثقافة تنظيمية ما زالت تحتاج ترسيخ مبدأ «الأمن أولاً»، وفجوات قائمة أبرزها غياب نظام SIEM وإدارة كلمات المرور المميزة يدوياً واستخدام بيانات حقيقية في بيئة الاختبار، إضافة إلى خمسة حوادث أمنية سابقة موثقة في دراسة الحالة.</t>
        </is>
      </c>
    </row>
    <row r="14" spans="1:3" ht="30" x14ac:dyDescent="0.25">
      <c r="A14" s="90"/>
      <c r="B14" s="93" t="inlineStr">
        <is>
          <t xml:space="preserve">معايير قبول المخاطر</t>
        </is>
      </c>
      <c r="C14" s="94" t="inlineStr">
        <is>
          <t xml:space="preserve">تُقبل المخاطر ذات الدرجة من 1 إلى 4 (منخفض) دون معالجة إضافية وتُراقب دورياً. وتُقبل المخاطر من 5 إلى 10 (متوسط) بشروط: وجود ضوابط قائمة فعالة، وموافقة مالك الخطر، ومراجعة ربع سنوية. ولا تُقبل المخاطر من 11 إلى 15 (مرتفع) إلا بخطة معالجة معتمدة من لجنة المخاطر وموعد لا يتجاوز 90 يوماً، ويُسمح بقبول الخطر المتبقي المرتفع بقرار موثق من لجنة المخاطر مع ضوابط تعويضية ومراجعة نصف سنوية. أما المخاطر من 16 إلى 25 (حرج) فهي غير مقبولة إطلاقاً وتتطلب معالجة فورية وإبلاغ مجلس الإدارة خلال 5 أيام عمل وخطة معالجة لا تتجاوز 30 يوماً. ولا يجوز قبول أي خطر يؤدي إلى مخالفة نظامية (ساما أو سدايا) أو إلى تعريض بيانات العملاء الشخصية أو المالية للخطر.</t>
        </is>
      </c>
    </row>
    <row r="15" spans="1:3" ht="30" x14ac:dyDescent="0.25">
      <c r="A15" s="90"/>
      <c r="B15" s="28" t="inlineStr">
        <is>
          <t xml:space="preserve">الإصدار</t>
        </is>
      </c>
      <c r="C15" s="75" t="inlineStr">
        <is>
          <t xml:space="preserve">1.0</t>
        </is>
      </c>
    </row>
    <row r="16" spans="1:3" ht="30" x14ac:dyDescent="0.25">
      <c r="A16" s="90"/>
      <c r="B16" s="93" t="inlineStr">
        <is>
          <t xml:space="preserve">التاريخ</t>
        </is>
      </c>
      <c r="C16" s="95" t="inlineStr">
        <is>
          <t xml:space="preserve">2026-04-02 (نُفذ التقييم في الفترة من 2026-03-08 إلى 2026-03-26)</t>
        </is>
      </c>
    </row>
    <row r="17" spans="1:3" ht="30" x14ac:dyDescent="0.25">
      <c r="A17" s="90"/>
      <c r="B17" s="28" t="inlineStr">
        <is>
          <t xml:space="preserve">مقيّمو المخاطر</t>
        </is>
      </c>
      <c r="C17" s="75" t="inlineStr">
        <is>
          <t xml:space="preserve">الأستاذة سارة الحربي - مدير إدارة أمن المعلومات (قائد التقييم)؛ فريق تقييم المخاطر والثغرات - أخصائيان (إعداد التحليل وجمع الأدلة)</t>
        </is>
      </c>
    </row>
    <row r="18" spans="1:3" ht="30" x14ac:dyDescent="0.25">
      <c r="A18" s="90"/>
      <c r="B18" s="28" t="inlineStr">
        <is>
          <t xml:space="preserve">المشاركون في تقييم المخاطر</t>
        </is>
      </c>
      <c r="C18" s="75" t="inlineStr">
        <is>
          <t xml:space="preserve">المهندس فهد العتيبي - مدير إدارة تقنية المعلومات؛ مدير قسم البنية التحتية والشبكات؛ مدير قسم التطبيقات المصرفية؛ رئيس قسم تطوير البرمجيات؛ مدير قسم قواعد البيانات؛ مدير إدارة العمليات المصرفية؛ مدير إدارة الموارد البشرية؛ مدير الإدارة المالية؛ رئيس إدارة الخزينة والاستثمار؛ مدير إدارة الالتزام والحوكمة؛ مدير إدارة الشؤون القانونية؛ إدارة المشتريات والعقود؛ مدير إدارة المرافق والخدمات العامة؛ فريق العمليات الأمنية (SOC)؛ فريق الاستجابة للحوادث</t>
        </is>
      </c>
    </row>
    <row r="19" spans="1:3" ht="30" x14ac:dyDescent="0.25">
      <c r="A19" s="90"/>
      <c r="B19" s="93" t="inlineStr">
        <is>
          <t xml:space="preserve">الاعتماد</t>
        </is>
      </c>
      <c r="C19" s="92" t="inlineStr">
        <is>
          <t xml:space="preserve">الدكتورة نورة القحطاني - الرئيس التنفيذي (اعتماد نتائج التقييم)؛ لجنة المخاطر (المصادقة على قبول المخاطر المتبقية وخيارات المعالجة)؛ الأستاذ عبدالله المحيسن - رئيس مجلس الإدارة (الإحاطة بالمخاطر الحرجة)</t>
        </is>
      </c>
    </row>
    <row r="20" spans="1:3" ht="30" x14ac:dyDescent="0.25">
      <c r="A20" s="90"/>
      <c r="B20" s="28" t="inlineStr">
        <is>
          <t xml:space="preserve">تاريخ الاعتماد</t>
        </is>
      </c>
      <c r="C20" s="96" t="inlineStr">
        <is>
          <t xml:space="preserve">2026-04-12</t>
        </is>
      </c>
    </row>
  </sheetData>
  <sheetProtection selectLockedCells="1"/>
  <pageMargins left="0.70866141732283472" right="0.70866141732283472" top="0.74803149606299213" bottom="0.74803149606299213" header="0.31496062992125984" footer="0.31496062992125984"/>
  <pageSetup paperSize="9" orientation="portrait" horizontalDpi="1200" verticalDpi="1200" r:id="rId1"/>
  <headerFooter>
    <oddFooter>&amp;L&amp;D&amp;Cالصفحة &amp;P من &amp;N&amp;Rسري - استخدام داخلي</oddFooter>
  </headerFooter>
  <drawing r:id="rId2"/>
</worksheet>
</file>

<file path=xl/worksheets/sheet3.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F710DC-A629-4296-81D8-97D7450DC101}">
  <sheetPr codeName="Sheet3">
    <pageSetUpPr fitToPage="1"/>
  </sheetPr>
  <dimension ref="B2:AO45"/>
  <sheetViews>
    <sheetView showGridLines="0" zoomScaleNormal="100" workbookViewId="0"/>
  </sheetViews>
  <sheetFormatPr defaultColWidth="9.140625" defaultRowHeight="15" x14ac:dyDescent="0.25"/>
  <cols>
    <col min="1" max="1" width="2.85546875" style="11" customWidth="1"/>
    <col min="2" max="2" width="4.28515625" style="11" customWidth="1"/>
    <col min="3" max="3" width="15.85546875" style="11" customWidth="1"/>
    <col min="4" max="6" width="21.140625" style="11" customWidth="1"/>
    <col min="7" max="7" width="10.140625" style="11" customWidth="1"/>
    <col min="8" max="8" width="12.7109375" style="11" customWidth="1"/>
    <col min="9" max="9" width="15.140625" style="11" customWidth="1"/>
    <col min="10" max="10" width="10.5703125" style="11" customWidth="1"/>
    <col min="11" max="11" width="18.28515625" style="11" customWidth="1"/>
    <col min="12" max="12" width="10.7109375" style="11" customWidth="1"/>
    <col min="13" max="13" width="18.28515625" style="11" customWidth="1"/>
    <col min="14" max="14" width="11.7109375" style="11" customWidth="1"/>
    <col min="15" max="15" width="13.42578125" style="11" customWidth="1"/>
    <col min="16" max="16" width="11.7109375" style="11" customWidth="1"/>
    <col min="17" max="17" width="17.140625" style="11" customWidth="1"/>
    <col min="18" max="18" width="15.140625" style="11" customWidth="1"/>
    <col min="19" max="19" width="12.42578125" style="11" customWidth="1"/>
    <col min="20" max="20" width="13.140625" style="11" customWidth="1"/>
    <col min="21" max="21" width="14.85546875" style="11" customWidth="1"/>
    <col min="22" max="22" width="11.85546875" style="11" customWidth="1"/>
    <col min="23" max="23" width="14.85546875" style="11" customWidth="1"/>
    <col min="24" max="24" width="11.28515625" style="11" customWidth="1"/>
    <col min="25" max="25" width="12.5703125" style="11" customWidth="1"/>
    <col min="26" max="26" width="14.5703125" style="11" customWidth="1"/>
    <col min="27" max="27" width="10.85546875" style="11" customWidth="1"/>
    <col min="28" max="28" width="11" style="11" customWidth="1"/>
    <col min="29" max="29" width="11.5703125" style="11" customWidth="1"/>
    <col min="30" max="30" width="18.140625" style="11" customWidth="1"/>
    <col min="31" max="16384" width="9.140625" style="11"/>
  </cols>
  <sheetData>
    <row r="2" spans="2:41" ht="15" customHeight="1" x14ac:dyDescent="0.25">
      <c r="D2" s="15"/>
      <c r="E2" s="15"/>
      <c r="F2" s="15"/>
      <c r="G2" s="16"/>
      <c r="H2" s="15"/>
      <c r="I2" s="15"/>
      <c r="J2" s="15"/>
      <c r="L2" s="15"/>
      <c r="M2" s="15"/>
      <c r="N2" s="15"/>
      <c r="O2" s="15"/>
      <c r="P2" s="15"/>
      <c r="Q2" s="15"/>
      <c r="R2" s="15"/>
    </row>
    <row r="4" spans="2:41" x14ac:dyDescent="0.25">
      <c r="D4" s="15"/>
      <c r="E4" s="15"/>
      <c r="F4" s="15"/>
      <c r="G4" s="17"/>
      <c r="H4" s="15"/>
      <c r="I4" s="15"/>
      <c r="J4" s="15"/>
      <c r="K4" s="15"/>
      <c r="L4" s="15"/>
      <c r="M4" s="15"/>
      <c r="N4" s="15"/>
      <c r="O4" s="15"/>
      <c r="P4" s="15"/>
      <c r="Q4" s="15"/>
      <c r="R4" s="15"/>
    </row>
    <row r="5" spans="2:41" x14ac:dyDescent="0.25">
      <c r="D5" s="15"/>
      <c r="E5" s="15"/>
      <c r="F5" s="15"/>
      <c r="G5" s="17"/>
      <c r="H5" s="15"/>
      <c r="I5" s="15"/>
      <c r="J5" s="15"/>
      <c r="K5" s="15"/>
      <c r="L5" s="15"/>
      <c r="M5" s="15"/>
      <c r="N5" s="15"/>
      <c r="O5" s="15"/>
      <c r="P5" s="15"/>
      <c r="Q5" s="15"/>
      <c r="R5" s="15"/>
    </row>
    <row r="6" spans="2:41" x14ac:dyDescent="0.25">
      <c r="D6" s="15"/>
      <c r="E6" s="15"/>
      <c r="F6" s="15"/>
      <c r="G6" s="17"/>
      <c r="H6" s="15"/>
      <c r="I6" s="15"/>
      <c r="J6" s="15"/>
      <c r="K6" s="15"/>
      <c r="L6" s="15"/>
      <c r="M6" s="15"/>
      <c r="N6" s="15"/>
      <c r="O6" s="15"/>
      <c r="P6" s="15"/>
      <c r="Q6" s="15"/>
      <c r="R6" s="15"/>
    </row>
    <row r="7" spans="2:41" x14ac:dyDescent="0.25">
      <c r="D7" s="15"/>
      <c r="E7" s="15"/>
      <c r="F7" s="15"/>
      <c r="G7" s="17"/>
      <c r="H7" s="15"/>
      <c r="I7" s="15"/>
      <c r="J7" s="15"/>
      <c r="K7" s="15"/>
      <c r="L7" s="15"/>
      <c r="M7" s="15"/>
      <c r="N7" s="15"/>
      <c r="O7" s="15"/>
      <c r="P7" s="15"/>
      <c r="Q7" s="15"/>
      <c r="R7" s="15"/>
    </row>
    <row r="8" spans="2:41" ht="21" x14ac:dyDescent="0.25">
      <c r="B8" s="10" t="inlineStr">
        <is>
          <t xml:space="preserve">أداة تقييم ومعالجة المخاطر القائمة على الأصول - بنك الآفاق الرقمية (ISO/IEC 27001:2022)</t>
        </is>
      </c>
      <c r="D8" s="15"/>
      <c r="E8" s="15"/>
      <c r="F8" s="15"/>
      <c r="G8" s="17"/>
      <c r="H8" s="15"/>
      <c r="I8" s="15"/>
      <c r="J8" s="15"/>
      <c r="K8" s="15"/>
      <c r="L8" s="15"/>
      <c r="M8" s="15"/>
      <c r="N8" s="15"/>
      <c r="O8" s="15"/>
      <c r="P8" s="15"/>
      <c r="Q8" s="15"/>
      <c r="R8" s="15"/>
    </row>
    <row r="9" spans="2:41" x14ac:dyDescent="0.25">
      <c r="B9" s="97" t="inlineStr">
        <is>
          <t xml:space="preserve">بدأ التقييم بالأصول الأعلى قيمة (قواعد بيانات العملاء والأنظمة المصرفية الأساسية والقنوات الرقمية) ثم التهديدات الأكثر احتمالاً والأعلى أثراً، وفق منهجية موحدة: درجة الخطر = الاحتمالية × التأثير.</t>
        </is>
      </c>
      <c r="C9" s="97"/>
      <c r="D9" s="98"/>
      <c r="E9" s="98"/>
      <c r="F9" s="98"/>
      <c r="G9" s="99"/>
      <c r="H9" s="15"/>
      <c r="I9" s="15"/>
      <c r="J9" s="15"/>
      <c r="K9" s="15"/>
      <c r="L9" s="15"/>
      <c r="M9" s="15"/>
      <c r="N9" s="15"/>
      <c r="O9" s="15"/>
      <c r="P9" s="15"/>
      <c r="Q9" s="15"/>
      <c r="R9" s="15"/>
    </row>
    <row r="10" spans="2:41" ht="15" customHeight="1" x14ac:dyDescent="0.25">
      <c r="B10" s="69" t="inlineStr">
        <is>
          <t xml:space="preserve">لتحديث بيانات لوحة المؤشرات والرسوم البيانية، انقر على «تحديث الكل» (Refresh All) من علامة التبويب «البيانات».</t>
        </is>
      </c>
      <c r="C10" s="12"/>
      <c r="D10" s="12"/>
      <c r="E10" s="12"/>
      <c r="F10" s="12"/>
      <c r="G10" s="12"/>
      <c r="H10" s="12"/>
      <c r="I10" s="12"/>
      <c r="J10" s="15"/>
      <c r="K10" s="15"/>
      <c r="L10" s="15"/>
      <c r="M10" s="15"/>
      <c r="N10" s="67"/>
      <c r="O10" s="68"/>
      <c r="P10" s="68"/>
      <c r="Q10" s="15"/>
      <c r="R10" s="15"/>
    </row>
    <row r="11" spans="2:41" ht="15" customHeight="1" x14ac:dyDescent="0.25">
      <c r="D11" s="15"/>
      <c r="E11" s="15"/>
      <c r="F11" s="15"/>
      <c r="G11" s="17"/>
      <c r="H11" s="15"/>
      <c r="I11" s="15"/>
      <c r="J11" s="15"/>
      <c r="K11" s="15"/>
      <c r="L11" s="15"/>
      <c r="M11" s="15"/>
      <c r="N11" s="15"/>
      <c r="O11" s="15"/>
      <c r="P11" s="15"/>
      <c r="Q11" s="15"/>
      <c r="R11" s="15"/>
    </row>
    <row r="12" spans="2:41" ht="22.5" customHeight="1" x14ac:dyDescent="0.25">
      <c r="B12" s="108" t="inlineStr">
        <is>
          <t xml:space="preserve"> وصف الخطر</t>
        </is>
      </c>
      <c r="C12" s="108"/>
      <c r="D12" s="108"/>
      <c r="E12" s="108"/>
      <c r="F12" s="108"/>
      <c r="G12" s="108"/>
      <c r="H12" s="109"/>
      <c r="I12" s="110" t="inlineStr">
        <is>
          <t xml:space="preserve"> التقييم قبل المعالجة</t>
        </is>
      </c>
      <c r="J12" s="108"/>
      <c r="K12" s="108"/>
      <c r="L12" s="108"/>
      <c r="M12" s="108"/>
      <c r="N12" s="108"/>
      <c r="O12" s="109"/>
      <c r="P12" s="110" t="inlineStr">
        <is>
          <t xml:space="preserve"> خطة المعالجة</t>
        </is>
      </c>
      <c r="Q12" s="108"/>
      <c r="R12" s="108"/>
      <c r="S12" s="108"/>
      <c r="T12" s="108"/>
      <c r="U12" s="108"/>
      <c r="V12" s="108"/>
      <c r="W12" s="109"/>
      <c r="X12" s="110" t="inlineStr">
        <is>
          <t xml:space="preserve"> التقييم بعد المعالجة</t>
        </is>
      </c>
      <c r="Y12" s="108"/>
      <c r="Z12" s="108"/>
      <c r="AA12" s="108"/>
      <c r="AB12" s="108"/>
      <c r="AC12" s="108"/>
      <c r="AD12" s="108"/>
    </row>
    <row r="13" spans="2:41" ht="60" x14ac:dyDescent="0.25">
      <c r="B13" s="12" t="inlineStr">
        <is>
          <t xml:space="preserve"> المرجع</t>
        </is>
      </c>
      <c r="C13" s="12" t="inlineStr">
        <is>
          <t xml:space="preserve"> مجموعة الأصل</t>
        </is>
      </c>
      <c r="D13" s="12" t="inlineStr">
        <is>
          <t xml:space="preserve"> الأصل</t>
        </is>
      </c>
      <c r="E13" s="12" t="inlineStr">
        <is>
          <t xml:space="preserve"> التهديد</t>
        </is>
      </c>
      <c r="F13" s="12" t="inlineStr">
        <is>
          <t xml:space="preserve"> نقطة الضعف</t>
        </is>
      </c>
      <c r="G13" s="12" t="inlineStr">
        <is>
          <t xml:space="preserve"> نوع الخطر</t>
        </is>
      </c>
      <c r="H13" s="12" t="inlineStr">
        <is>
          <t xml:space="preserve"> مالك الخطر</t>
        </is>
      </c>
      <c r="I13" s="12" t="inlineStr">
        <is>
          <t xml:space="preserve"> الضوابط القائمة</t>
        </is>
      </c>
      <c r="J13" s="12" t="inlineStr">
        <is>
          <t xml:space="preserve"> الاحتمالية</t>
        </is>
      </c>
      <c r="K13" s="12" t="inlineStr">
        <is>
          <t xml:space="preserve"> مبرر الاحتمالية</t>
        </is>
      </c>
      <c r="L13" s="12" t="inlineStr">
        <is>
          <t xml:space="preserve"> التأثير</t>
        </is>
      </c>
      <c r="M13" s="12" t="inlineStr">
        <is>
          <t xml:space="preserve"> مبرر التأثير</t>
        </is>
      </c>
      <c r="N13" s="12" t="inlineStr">
        <is>
          <t xml:space="preserve"> درجة الخطر</t>
        </is>
      </c>
      <c r="O13" s="12" t="inlineStr">
        <is>
          <t xml:space="preserve"> مستوى الخطر</t>
        </is>
      </c>
      <c r="P13" s="12" t="inlineStr">
        <is>
          <t xml:space="preserve"> خيار المعالجة المختار</t>
        </is>
      </c>
      <c r="Q13" s="12" t="inlineStr">
        <is>
          <t xml:space="preserve"> إجراء المعالجة المقترح</t>
        </is>
      </c>
      <c r="R13" s="12" t="inlineStr">
        <is>
          <t xml:space="preserve"> مرجع الضابط - الملحق A</t>
        </is>
      </c>
      <c r="S13" s="12" t="inlineStr">
        <is>
          <t xml:space="preserve"> تكلفة المعالجة</t>
        </is>
      </c>
      <c r="T13" s="12" t="inlineStr">
        <is>
          <t xml:space="preserve"> مسؤول إجراء المعالجة</t>
        </is>
      </c>
      <c r="U13" s="12" t="inlineStr">
        <is>
          <t xml:space="preserve"> الموعد المستهدف للإجراء</t>
        </is>
      </c>
      <c r="V13" s="12" t="inlineStr">
        <is>
          <t xml:space="preserve"> نسبة إنجاز الإجراء</t>
        </is>
      </c>
      <c r="W13" s="12" t="inlineStr">
        <is>
          <t xml:space="preserve"> حالة الإجراء</t>
        </is>
      </c>
      <c r="X13" s="12" t="inlineStr">
        <is>
          <t xml:space="preserve"> الاحتمالية بعد المعالجة</t>
        </is>
      </c>
      <c r="Y13" s="12" t="inlineStr">
        <is>
          <t xml:space="preserve"> مبرر الاحتمالية بعد المعالجة</t>
        </is>
      </c>
      <c r="Z13" s="12" t="inlineStr">
        <is>
          <t xml:space="preserve"> التأثير بعد المعالجة</t>
        </is>
      </c>
      <c r="AA13" s="12" t="inlineStr">
        <is>
          <t xml:space="preserve"> مبرر التأثير بعد المعالجة</t>
        </is>
      </c>
      <c r="AB13" s="12" t="inlineStr">
        <is>
          <t xml:space="preserve"> درجة الخطر بعد المعالجة</t>
        </is>
      </c>
      <c r="AC13" s="12" t="inlineStr">
        <is>
          <t xml:space="preserve"> مستوى الخطر بعد المعالجة</t>
        </is>
      </c>
      <c r="AD13" s="12" t="inlineStr">
        <is>
          <t xml:space="preserve"> ملاحظات</t>
        </is>
      </c>
      <c r="AE13" s="18"/>
      <c r="AF13" s="18"/>
      <c r="AG13" s="18"/>
      <c r="AH13" s="18"/>
      <c r="AI13" s="18"/>
      <c r="AJ13" s="18"/>
      <c r="AK13" s="18"/>
      <c r="AL13" s="18"/>
      <c r="AM13" s="18"/>
      <c r="AN13" s="18"/>
      <c r="AO13" s="18"/>
    </row>
    <row r="14" spans="2:41" x14ac:dyDescent="0.25">
      <c r="B14" s="14" t="inlineStr">
        <is>
          <t xml:space="preserve">R-001</t>
        </is>
      </c>
      <c r="C14" s="14" t="inlineStr">
        <is>
          <t xml:space="preserve">بيانات العملاء</t>
        </is>
      </c>
      <c r="D14" s="14" t="inlineStr">
        <is>
          <t xml:space="preserve">قاعدة بيانات العملاء الرئيسية وقاعدة بيانات المعاملات ونسخها الاحتياطية</t>
        </is>
      </c>
      <c r="E14" s="14" t="inlineStr">
        <is>
          <t xml:space="preserve">هجوم برمجيات الفدية (Ransomware) يشفّر قواعد البيانات والنسخ الاحتياطية المتصلة بالشبكة</t>
        </is>
      </c>
      <c r="F14" s="14" t="inlineStr">
        <is>
          <t xml:space="preserve">غياب نظام SIEM للكشف المبكر، وعدم عزل نسخ النسخ الاحتياطي (Immutability)، وعدم كفاية قدرات EDR على الخوادم</t>
        </is>
      </c>
      <c r="G14" s="14" t="inlineStr">
        <is>
          <t xml:space="preserve">سرية وسلامة وتوافر (CIA)</t>
        </is>
      </c>
      <c r="H14" s="14" t="inlineStr">
        <is>
          <t xml:space="preserve">مدير إدارة تقنية المعلومات</t>
        </is>
      </c>
      <c r="I14" s="14" t="inlineStr">
        <is>
          <t xml:space="preserve">حل مكافحة البرمجيات الخبيثة (Trend Micro)، ونسخ احتياطي يومي عبر Veritas NetBackup، وتجزئة الشبكة، وتحديثات دورية</t>
        </is>
      </c>
      <c r="J14" s="14">
        <v>4</v>
      </c>
      <c r="K14" s="14" t="inlineStr">
        <is>
          <t xml:space="preserve">القطاع المصرفي السعودي هدف متكرر لهجمات الفدية، ورُصدت حملات موجهة ضد بنوك رقمية، وغياب SIEM يقلل فرص الاكتشاف المبكر.</t>
        </is>
      </c>
      <c r="L14" s="14">
        <v>5</v>
      </c>
      <c r="M14" s="14" t="inlineStr">
        <is>
          <t xml:space="preserve">توقف كامل للخدمات المصرفية الرقمية وتأثر أكثر من 500,000 عميل، وخسائر تتجاوز 25 مليون ريال، وعقوبات من ساما وأزمة سمعة حادة.</t>
        </is>
      </c>
      <c r="N14" s="12">
        <f>IFERROR(RiskAssessment[[#This Row],[الاحتمالية]]*RiskAssessment[[#This Row],[التأثير]],"غير محسوب")</f>
        <v>20</v>
      </c>
      <c r="O14" s="12">
        <f>IF(N14="غير محسوب","غير محسوب",IF(N14&gt;=16,"حرج",IF(N14&gt;=11,"مرتفع",IF(N14&gt;=5,"متوسط","منخفض"))))</f>
        <v>حرج</v>
      </c>
      <c r="P14" s="14" t="inlineStr">
        <is>
          <t xml:space="preserve">التخفيف</t>
        </is>
      </c>
      <c r="Q14" s="14" t="inlineStr">
        <is>
          <t xml:space="preserve">1) تفعيل نسخ احتياطية غير قابلة للتعديل ومعزولة عن الشبكة (Air-Gapped) مع اختبار استعادة ربع سنوي. 2) ترقية حماية النقاط الطرفية والخوادم إلى EDR/XDR. 3) تشغيل SIEM مع حالات استخدام لكشف الفدية. 4) تنفيذ خطة استجابة محددة لسيناريو الفدية ضمن BCP/DR.</t>
        </is>
      </c>
      <c r="R14" s="14" t="inlineStr">
        <is>
          <t xml:space="preserve">A.8.7، A.8.13، A.8.16، A.5.29، A.5.30</t>
        </is>
      </c>
      <c r="S14" s="100">
        <v>4200000</v>
      </c>
      <c r="T14" s="14" t="inlineStr">
        <is>
          <t xml:space="preserve">مدير إدارة تقنية المعلومات</t>
        </is>
      </c>
      <c r="U14" s="14" t="inlineStr">
        <is>
          <t xml:space="preserve">2026-12-31</t>
        </is>
      </c>
      <c r="V14" s="14">
        <v>0.35</v>
      </c>
      <c r="W14" s="14" t="inlineStr">
        <is>
          <t xml:space="preserve">قيد التنفيذ</t>
        </is>
      </c>
      <c r="X14" s="14">
        <v>2</v>
      </c>
      <c r="Y14" s="14" t="inlineStr">
        <is>
          <t xml:space="preserve">بعد عزل النسخ وتفعيل EDR وSIEM تصبح فرص نجاح هجوم فدية شامل نادرة، مع بقاء احتمال محدود عبر حساب إداري مخترق.</t>
        </is>
      </c>
      <c r="Z14" s="14">
        <v>4</v>
      </c>
      <c r="AA14" s="14" t="inlineStr">
        <is>
          <t xml:space="preserve">قد يتبقى أثر كبير على خدمة واحدة حرجة قبل اكتمال الاستعادة، لكن دون فقدان بيانات ودون تجاوز هدف زمن الاستعادة.</t>
        </is>
      </c>
      <c r="AB14" s="12">
        <f>IFERROR(RiskAssessment[[#This Row],[الاحتمالية بعد المعالجة]]*RiskAssessment[[#This Row],[التأثير بعد المعالجة]],"غير محسوب")</f>
        <v>8</v>
      </c>
      <c r="AC14" s="12">
        <f>IF(AB14="غير محسوب","غير محسوب",IF(AB14&gt;=16,"حرج",IF(AB14&gt;=11,"مرتفع",IF(AB14&gt;=5,"متوسط","منخفض"))))</f>
        <v>متوسط</v>
      </c>
      <c r="AD14" s="14" t="inlineStr">
        <is>
          <t xml:space="preserve">الخطر الأعلى في السجل؛ رُبط بميزانية الأمن المعتمدة (الرفع من 12 إلى 18 مليون ريال) وبخطة التعافي من الكوارث.</t>
        </is>
      </c>
    </row>
    <row r="15" spans="2:41" x14ac:dyDescent="0.25">
      <c r="B15" s="14" t="inlineStr">
        <is>
          <t xml:space="preserve">R-002</t>
        </is>
      </c>
      <c r="C15" s="14" t="inlineStr">
        <is>
          <t xml:space="preserve">بيانات العملاء</t>
        </is>
      </c>
      <c r="D15" s="14" t="inlineStr">
        <is>
          <t xml:space="preserve">بيئة Office 365 والبريد المؤسسي وبيانات الإدارة المالية وبيانات اعتماد العملاء</t>
        </is>
      </c>
      <c r="E15" s="14" t="inlineStr">
        <is>
          <t xml:space="preserve">هجمات تصيد احتيالي متطورة وانتحال شخصية تنفيذيين لاختراق حسابات الموظفين أو تنفيذ تحويلات احتيالية</t>
        </is>
      </c>
      <c r="F15" s="14" t="inlineStr">
        <is>
          <t xml:space="preserve">ضعف الوعي الأمني: 25% من الموظفين نقروا على رابط محاكاة التصيد، و12% أدخلوا بيانات اعتمادهم، و8% فقط أبلغوا، وأعلى نسبة نقر في إدارة التسويق (40%)</t>
        </is>
      </c>
      <c r="G15" s="14" t="inlineStr">
        <is>
          <t xml:space="preserve">سرية وسلامة (CI)</t>
        </is>
      </c>
      <c r="H15" s="14" t="inlineStr">
        <is>
          <t xml:space="preserve">مدير إدارة أمن المعلومات</t>
        </is>
      </c>
      <c r="I15" s="14" t="inlineStr">
        <is>
          <t xml:space="preserve">بوابة البريد الإلكتروني الآمن (Cisco Email Security)، ونظام كشف الاحتيال، وإجراء تحقق هاتفي جزئي للتحويلات الكبيرة، وتوعية سنوية عامة</t>
        </is>
      </c>
      <c r="J15" s="14">
        <v>4</v>
      </c>
      <c r="K15" s="14" t="inlineStr">
        <is>
          <t xml:space="preserve">سجل البنك حادثة فعلية (INC-2025-003) استهدفت الإدارة المالية بمبلغ 150,000 ريال، ونتائج المحاكاة الأخيرة تؤكد استمرار قابلية الموظفين للخداع.</t>
        </is>
      </c>
      <c r="L15" s="14">
        <v>4</v>
      </c>
      <c r="M15" s="14" t="inlineStr">
        <is>
          <t xml:space="preserve">خسائر مالية محتملة من 5 إلى 25 مليون ريال في حال نجاح تحويل احتيالي أو اختراق حساب يؤدي إلى تسريب بيانات عملاء، مع أثر سمعة كبير.</t>
        </is>
      </c>
      <c r="N15" s="12">
        <f>IFERROR(RiskAssessment[[#This Row],[الاحتمالية]]*RiskAssessment[[#This Row],[التأثير]],"غير محسوب")</f>
        <v>16</v>
      </c>
      <c r="O15" s="12">
        <f>IF(N15="غير محسوب","غير محسوب",IF(N15&gt;=16,"حرج",IF(N15&gt;=11,"مرتفع",IF(N15&gt;=5,"متوسط","منخفض"))))</f>
        <v>حرج</v>
      </c>
      <c r="P15" s="14" t="inlineStr">
        <is>
          <t xml:space="preserve">التخفيف</t>
        </is>
      </c>
      <c r="Q15" s="14" t="inlineStr">
        <is>
          <t xml:space="preserve">1) تفعيل MFA المقاوم للتصيد (FIDO2) لجميع الموظفين. 2) برنامج توعية شهري مع محاكاة تصيد ربع سنوية وإلزامية تدريب إضافي لمن يقع في المحاكاة. 3) إجراء تحقق إلزامي عبر قناة ثانية لأي تحويل يتجاوز 50,000 ريال. 4) قواعد DMARC/DKIM/SPF صارمة لنطاق البنك.</t>
        </is>
      </c>
      <c r="R15" s="14" t="inlineStr">
        <is>
          <t xml:space="preserve">A.5.17، A.6.3، A.8.5، A.5.24، A.5.26</t>
        </is>
      </c>
      <c r="S15" s="100">
        <v>1500000</v>
      </c>
      <c r="T15" s="14" t="inlineStr">
        <is>
          <t xml:space="preserve">مدير إدارة أمن المعلومات</t>
        </is>
      </c>
      <c r="U15" s="14" t="inlineStr">
        <is>
          <t xml:space="preserve">2026-11-30</t>
        </is>
      </c>
      <c r="V15" s="14">
        <v>0.6</v>
      </c>
      <c r="W15" s="14" t="inlineStr">
        <is>
          <t xml:space="preserve">قيد التنفيذ</t>
        </is>
      </c>
      <c r="X15" s="14">
        <v>2</v>
      </c>
      <c r="Y15" s="14" t="inlineStr">
        <is>
          <t xml:space="preserve">MFA المقاوم للتصيد يمنع استخدام بيانات الاعتماد المسروقة، والتدريب الدوري يخفض نسبة النقر المستهدفة إلى أقل من 8%.</t>
        </is>
      </c>
      <c r="Z15" s="14">
        <v>4</v>
      </c>
      <c r="AA15" s="14" t="inlineStr">
        <is>
          <t xml:space="preserve">قد تنجح حملة موجهة عالية الاحتراف في اختراق حساب واحد قبل اكتشافه، ويبقى الأثر محتمل الكبر.</t>
        </is>
      </c>
      <c r="AB15" s="12">
        <f>IFERROR(RiskAssessment[[#This Row],[الاحتمالية بعد المعالجة]]*RiskAssessment[[#This Row],[التأثير بعد المعالجة]],"غير محسوب")</f>
        <v>8</v>
      </c>
      <c r="AC15" s="12">
        <f>IF(AB15="غير محسوب","غير محسوب",IF(AB15&gt;=16,"حرج",IF(AB15&gt;=11,"مرتفع",IF(AB15&gt;=5,"متوسط","منخفض"))))</f>
        <v>متوسط</v>
      </c>
      <c r="AD15" s="14" t="inlineStr">
        <is>
          <t xml:space="preserve">مرتبط مباشرة بالحادثتين INC-2025-003 ومحاكاة التصيد 2026-08-10؛ مؤشر الأداء: نسبة النقر في المحاكاة.</t>
        </is>
      </c>
    </row>
    <row r="16" spans="2:41" x14ac:dyDescent="0.25">
      <c r="B16" s="14" t="inlineStr">
        <is>
          <t xml:space="preserve">R-003</t>
        </is>
      </c>
      <c r="C16" s="14" t="inlineStr">
        <is>
          <t xml:space="preserve">التطبيقات المصرفية</t>
        </is>
      </c>
      <c r="D16" s="14" t="inlineStr">
        <is>
          <t xml:space="preserve">تطبيق آفاق بلس للهاتف المحمول والكود المصدري الخاص به</t>
        </is>
      </c>
      <c r="E16" s="14" t="inlineStr">
        <is>
          <t xml:space="preserve">استغلال ثغرات حقن SQL وعدم كفاية التحقق من صحة المدخلات في تطبيق آفاق بلس للوصول إلى بيانات العملاء أو تنفيذ عمليات غير مصرح بها</t>
        </is>
      </c>
      <c r="F16" s="14" t="inlineStr">
        <is>
          <t xml:space="preserve">3 ثغرات عالية الخطورة رُصدت في فحص 2026-07-14 وما زالت إحداها دون معالجة، وضعف ممارسات الترميز الآمن ومراجعة الكود الأمني</t>
        </is>
      </c>
      <c r="G16" s="14" t="inlineStr">
        <is>
          <t xml:space="preserve">سرية وسلامة (CI)</t>
        </is>
      </c>
      <c r="H16" s="14" t="inlineStr">
        <is>
          <t xml:space="preserve">مدير قسم التطبيقات المصرفية</t>
        </is>
      </c>
      <c r="I16" s="14" t="inlineStr">
        <is>
          <t xml:space="preserve">جدار حماية تطبيقات الويب (FortiWeb)، وفحص ربع سنوي للثغرات عبر استشاري خارجي، ومراجعة كود جزئية قبل الإصدارات</t>
        </is>
      </c>
      <c r="J16" s="14">
        <v>4</v>
      </c>
      <c r="K16" s="14" t="inlineStr">
        <is>
          <t xml:space="preserve">الثغرة العالية الثالثة ما زالت مفتوحة منذ أكثر من شهرين والتطبيق مكشوف لأكثر من 500,000 عميل؛ وسبق رصد ثغرات مكررة من فحوصات سابقة دون معالجة.</t>
        </is>
      </c>
      <c r="L16" s="14">
        <v>4</v>
      </c>
      <c r="M16" s="14" t="inlineStr">
        <is>
          <t xml:space="preserve">تسريب بيانات عملاء أو تنفيذ عمليات احتيالية بقيمة 5 إلى 25 مليون ريال، وغرامات تنظيمية من ساما وسدايا، وفقدان ثقة العملاء.</t>
        </is>
      </c>
      <c r="N16" s="12">
        <f>IFERROR(RiskAssessment[[#This Row],[الاحتمالية]]*RiskAssessment[[#This Row],[التأثير]],"غير محسوب")</f>
        <v>16</v>
      </c>
      <c r="O16" s="12">
        <f>IF(N16="غير محسوب","غير محسوب",IF(N16&gt;=16,"حرج",IF(N16&gt;=11,"مرتفع",IF(N16&gt;=5,"متوسط","منخفض"))))</f>
        <v>حرج</v>
      </c>
      <c r="P16" s="14" t="inlineStr">
        <is>
          <t xml:space="preserve">التخفيف</t>
        </is>
      </c>
      <c r="Q16" s="14" t="inlineStr">
        <is>
          <t xml:space="preserve">1) معالجة الثغرة العالية المتبقية خلال 15 يوماً وفق مستوى الخدمة الزمني المعتمد. 2) تطبيق الترميز الآمن ومراجعة كود إلزامية (SAST) ضمن دورة التطوير. 3) اختبار اختراق سنوي للتطبيق + فحص DAST قبل كل إصدار رئيس. 4) مكتبة تحقق موحدة من المدخلات (Input Validation) لجميع واجهات التطبيق.</t>
        </is>
      </c>
      <c r="R16" s="14" t="inlineStr">
        <is>
          <t xml:space="preserve">A.8.8، A.8.25، A.8.26، A.8.28، A.8.29</t>
        </is>
      </c>
      <c r="S16" s="100">
        <v>900000</v>
      </c>
      <c r="T16" s="14" t="inlineStr">
        <is>
          <t xml:space="preserve">رئيس قسم تطوير البرمجيات</t>
        </is>
      </c>
      <c r="U16" s="14" t="inlineStr">
        <is>
          <t xml:space="preserve">2026-10-15</t>
        </is>
      </c>
      <c r="V16" s="14">
        <v>0.7</v>
      </c>
      <c r="W16" s="14" t="inlineStr">
        <is>
          <t xml:space="preserve">قيد التنفيذ</t>
        </is>
      </c>
      <c r="X16" s="14">
        <v>2</v>
      </c>
      <c r="Y16" s="14" t="inlineStr">
        <is>
          <t xml:space="preserve">بعد إغلاق الثغرات وتطبيق SAST/DAST ومراجعة الكود تصبح فرص استغلال ثغرة معروفة نادرة.</t>
        </is>
      </c>
      <c r="Z16" s="14">
        <v>3</v>
      </c>
      <c r="AA16" s="14" t="inlineStr">
        <is>
          <t xml:space="preserve">قد تظهر ثغرة منطقية جديدة في إصدار لاحق بأثر متوسط حتى معالجتها ضمن نافذة الإصلاح.</t>
        </is>
      </c>
      <c r="AB16" s="12">
        <f>IFERROR(RiskAssessment[[#This Row],[الاحتمالية بعد المعالجة]]*RiskAssessment[[#This Row],[التأثير بعد المعالجة]],"غير محسوب")</f>
        <v>6</v>
      </c>
      <c r="AC16" s="12">
        <f>IF(AB16="غير محسوب","غير محسوب",IF(AB16&gt;=16,"حرج",IF(AB16&gt;=11,"مرتفع",IF(AB16&gt;=5,"متوسط","منخفض"))))</f>
        <v>متوسط</v>
      </c>
      <c r="AD16" s="14" t="inlineStr">
        <is>
          <t xml:space="preserve">مرتبط بفجوة G-11 (ثغرات مكررة غير معالجة) ومؤشر أداء: نسبة إغلاق الثغرات الحرجة خلال المدة المحددة.</t>
        </is>
      </c>
    </row>
    <row r="17" spans="2:30" x14ac:dyDescent="0.25">
      <c r="B17" s="14" t="inlineStr">
        <is>
          <t xml:space="preserve">R-004</t>
        </is>
      </c>
      <c r="C17" s="14" t="inlineStr">
        <is>
          <t xml:space="preserve">التطبيقات المصرفية</t>
        </is>
      </c>
      <c r="D17" s="14" t="inlineStr">
        <is>
          <t xml:space="preserve">منصة آفاق نت للخدمات المصرفية عبر الإنترنت</t>
        </is>
      </c>
      <c r="E17" s="80" t="inlineStr">
        <is>
          <t xml:space="preserve">استغلال الثغرات المتوسطة في منصة آفاق نت (إدارة الجلسات ومعالجة المدخلات) للوصول غير المصرح به إلى حسابات عملاء الشركات</t>
        </is>
      </c>
      <c r="F17" s="80" t="inlineStr">
        <is>
          <t xml:space="preserve">7 ثغرات متوسطة الخطورة رُصدت في فحص 2026-07-14 ومعظمها دون معالجة، وتأخر دورة الترقيع للتطبيقات</t>
        </is>
      </c>
      <c r="G17" s="14" t="inlineStr">
        <is>
          <t xml:space="preserve">سرية وسلامة (CI)</t>
        </is>
      </c>
      <c r="H17" s="14" t="inlineStr">
        <is>
          <t xml:space="preserve">مدير قسم التطبيقات المصرفية</t>
        </is>
      </c>
      <c r="I17" s="14" t="inlineStr">
        <is>
          <t xml:space="preserve">جدار حماية تطبيقات الويب، ومصادقة متعددة العوامل للعملاء، ومراقبة جلسات الدخول، وفحص ربع سنوي</t>
        </is>
      </c>
      <c r="J17" s="14">
        <v>3</v>
      </c>
      <c r="K17" s="14" t="inlineStr">
        <is>
          <t xml:space="preserve">الثغرات متوسطة الخطورة ومحمية جزئياً بـWAF وMFA، لكن بقاءها دون معالجة يزيد احتمال استغلالها المتراكم.</t>
        </is>
      </c>
      <c r="L17" s="14">
        <v>3</v>
      </c>
      <c r="M17" s="14" t="inlineStr">
        <is>
          <t xml:space="preserve">انكشاف محدود لبيانات عملاء شركات أو تعطيل جزئي للخدمة بخسائر من 1 إلى 5 ملايين ريال وأثر سمعة متوسط.</t>
        </is>
      </c>
      <c r="N17" s="12">
        <f>IFERROR(RiskAssessment[[#This Row],[الاحتمالية]]*RiskAssessment[[#This Row],[التأثير]],"غير محسوب")</f>
        <v>9</v>
      </c>
      <c r="O17" s="12">
        <f>IF(N17="غير محسوب","غير محسوب",IF(N17&gt;=16,"حرج",IF(N17&gt;=11,"مرتفع",IF(N17&gt;=5,"متوسط","منخفض"))))</f>
        <v>متوسط</v>
      </c>
      <c r="P17" s="14" t="inlineStr">
        <is>
          <t xml:space="preserve">التخفيف</t>
        </is>
      </c>
      <c r="Q17" s="14" t="inlineStr">
        <is>
          <t xml:space="preserve">1) إغلاق الثغرات السبع المتوسطة ضمن دورة الإصدار القادمة (30 يوماً). 2) ضبط مهلة انتهاء الجلسات وإلزام إعادة المصادقة للعمليات الحساسة. 3) إدراج المنصة في نطاق اختبار الاختراق السنوي.</t>
        </is>
      </c>
      <c r="R17" s="70" t="inlineStr">
        <is>
          <t xml:space="preserve">A.8.8، A.8.5، A.8.29</t>
        </is>
      </c>
      <c r="S17" s="100">
        <v>250000</v>
      </c>
      <c r="T17" s="14" t="inlineStr">
        <is>
          <t xml:space="preserve">مدير قسم التطبيقات المصرفية</t>
        </is>
      </c>
      <c r="U17" s="88" t="inlineStr">
        <is>
          <t xml:space="preserve">2026-10-31</t>
        </is>
      </c>
      <c r="V17" s="14">
        <v>0.4</v>
      </c>
      <c r="W17" s="14" t="inlineStr">
        <is>
          <t xml:space="preserve">قيد التنفيذ</t>
        </is>
      </c>
      <c r="X17" s="14">
        <v>2</v>
      </c>
      <c r="Y17" s="14" t="inlineStr">
        <is>
          <t xml:space="preserve">إغلاق الثغرات وضبط الجلسات يقلل الاحتمالية إلى مستوى نادر.</t>
        </is>
      </c>
      <c r="Z17" s="14">
        <v>3</v>
      </c>
      <c r="AA17" s="14" t="inlineStr">
        <is>
          <t xml:space="preserve">يبقى أثر أي انكشاف محدود متوسطاً لطبيعة بيانات عملاء الشركات.</t>
        </is>
      </c>
      <c r="AB17" s="12">
        <f>IFERROR(RiskAssessment[[#This Row],[الاحتمالية بعد المعالجة]]*RiskAssessment[[#This Row],[التأثير بعد المعالجة]],"غير محسوب")</f>
        <v>6</v>
      </c>
      <c r="AC17" s="12">
        <f>IF(AB17="غير محسوب","غير محسوب",IF(AB17&gt;=16,"حرج",IF(AB17&gt;=11,"مرتفع",IF(AB17&gt;=5,"متوسط","منخفض"))))</f>
        <v>متوسط</v>
      </c>
      <c r="AD17" s="14" t="inlineStr">
        <is>
          <t xml:space="preserve">يُتابع ضمن خطة معالجة الثغرات الشهرية لفريق تقييم المخاطر والثغرات.</t>
        </is>
      </c>
    </row>
    <row r="18" spans="2:30" x14ac:dyDescent="0.25">
      <c r="B18" s="14" t="inlineStr">
        <is>
          <t xml:space="preserve">R-005</t>
        </is>
      </c>
      <c r="C18" s="14" t="inlineStr">
        <is>
          <t xml:space="preserve">البيانات التقنية والأمنية</t>
        </is>
      </c>
      <c r="D18" s="14" t="inlineStr">
        <is>
          <t xml:space="preserve">كلمات المرور الإدارية ومفاتيح الوصول ونظام الدليل النشط</t>
        </is>
      </c>
      <c r="E18" s="80" t="inlineStr">
        <is>
          <t xml:space="preserve">إساءة استخدام الصلاحيات الإدارية أو اختراق حساب مسؤول عبر كلمات مرور مشتركة أو مخزنة يدوياً للسيطرة على بيئة البنك</t>
        </is>
      </c>
      <c r="F18" s="80" t="inlineStr">
        <is>
          <t xml:space="preserve">عدم وجود نظام لإدارة الوصول المميّز (PAM)؛ تُدار كلمات مرور المسؤولين يدوياً وتُشارك بين المهندسين (فجوة G-03)</t>
        </is>
      </c>
      <c r="G18" s="14" t="inlineStr">
        <is>
          <t xml:space="preserve">سرية وسلامة (CI)</t>
        </is>
      </c>
      <c r="H18" s="14" t="inlineStr">
        <is>
          <t xml:space="preserve">مدير إدارة تقنية المعلومات</t>
        </is>
      </c>
      <c r="I18" s="14" t="inlineStr">
        <is>
          <t xml:space="preserve">تقييد عدد الحسابات الإدارية، ومصادقة متعددة العوامل (RSA SecurID) لبعض الأنظمة الحساسة، وسجلات دخول AD</t>
        </is>
      </c>
      <c r="J18" s="14">
        <v>4</v>
      </c>
      <c r="K18" s="14" t="inlineStr">
        <is>
          <t xml:space="preserve">المشاركة اليدوية لكلمات المرور قائمة حالياً وتشمل عشرات الحسابات الإدارية؛ أي موظف سابق أو جهاز مخترق قد يكشفها.</t>
        </is>
      </c>
      <c r="L18" s="14">
        <v>4</v>
      </c>
      <c r="M18" s="14" t="inlineStr">
        <is>
          <t xml:space="preserve">اختراق حساب إداري يتيح الوصول إلى بيانات العملاء وتعديل التكوينات وتعطيل الأنظمة، بخسائر 5 إلى 25 مليون ريال وغرامات تنظيمية.</t>
        </is>
      </c>
      <c r="N18" s="12">
        <f>IFERROR(RiskAssessment[[#This Row],[الاحتمالية]]*RiskAssessment[[#This Row],[التأثير]],"غير محسوب")</f>
        <v>16</v>
      </c>
      <c r="O18" s="12">
        <f>IF(N18="غير محسوب","غير محسوب",IF(N18&gt;=16,"حرج",IF(N18&gt;=11,"مرتفع",IF(N18&gt;=5,"متوسط","منخفض"))))</f>
        <v>حرج</v>
      </c>
      <c r="P18" s="14" t="inlineStr">
        <is>
          <t xml:space="preserve">التخفيف</t>
        </is>
      </c>
      <c r="Q18" s="14" t="inlineStr">
        <is>
          <t xml:space="preserve">1) توريد وتشغيل نظام PAM مع خزنة كلمات مرور وتدوير آلي كل 24 ساعة للحسابات المميّزة. 2) حظر مشاركة الحسابات وإسناد كل حساب إداري لفرد محدد. 3) تسجيل جلسات الوصول الإداري بالفيديو (Session Recording). 4) مراجعة ربع سنوية للحسابات المميّزة وإلغاء غير المستخدم منها.</t>
        </is>
      </c>
      <c r="R18" s="14" t="inlineStr">
        <is>
          <t xml:space="preserve">A.5.18، A.8.2، A.8.5، A.8.15، A.8.18</t>
        </is>
      </c>
      <c r="S18" s="100">
        <v>1100000</v>
      </c>
      <c r="T18" s="14" t="inlineStr">
        <is>
          <t xml:space="preserve">مدير قسم البنية التحتية والشبكات</t>
        </is>
      </c>
      <c r="U18" s="14" t="inlineStr">
        <is>
          <t xml:space="preserve">2027-01-31</t>
        </is>
      </c>
      <c r="V18" s="14">
        <v>0.2</v>
      </c>
      <c r="W18" s="14" t="inlineStr">
        <is>
          <t xml:space="preserve">قيد التنفيذ</t>
        </is>
      </c>
      <c r="X18" s="14">
        <v>2</v>
      </c>
      <c r="Y18" s="14" t="inlineStr">
        <is>
          <t xml:space="preserve">بعد تشغيل PAM والتدوير الآلي وتسجيل الجلسات يصبح اختراق حساب إداري حدثاً نادراً وسهل الاكتشاف.</t>
        </is>
      </c>
      <c r="Z18" s="14">
        <v>4</v>
      </c>
      <c r="AA18" s="14" t="inlineStr">
        <is>
          <t xml:space="preserve">يبقى الأثر كبيراً في حال نجاح اختراق رغم الضوابط بسبب اتساع صلاحيات الحسابات الإدارية.</t>
        </is>
      </c>
      <c r="AB18" s="12">
        <f>IFERROR(RiskAssessment[[#This Row],[الاحتمالية بعد المعالجة]]*RiskAssessment[[#This Row],[التأثير بعد المعالجة]],"غير محسوب")</f>
        <v>8</v>
      </c>
      <c r="AC18" s="12">
        <f>IF(AB18="غير محسوب","غير محسوب",IF(AB18&gt;=16,"حرج",IF(AB18&gt;=11,"مرتفع",IF(AB18&gt;=5,"متوسط","منخفض"))))</f>
        <v>متوسط</v>
      </c>
      <c r="AD18" s="14" t="inlineStr">
        <is>
          <t xml:space="preserve">أحد أهم الفجوات الجوهرية (G-03) المرتبطة بالضابطين A.5.18 وA.8.2؛ المشروع معتمد ضمن ميزانية 2026.</t>
        </is>
      </c>
    </row>
    <row r="19" spans="2:30" x14ac:dyDescent="0.25">
      <c r="B19" s="14" t="inlineStr">
        <is>
          <t xml:space="preserve">R-006</t>
        </is>
      </c>
      <c r="C19" s="14" t="inlineStr">
        <is>
          <t xml:space="preserve">بيانات الموظفين</t>
        </is>
      </c>
      <c r="D19" s="14" t="inlineStr">
        <is>
          <t xml:space="preserve">قاعدة بيانات الموارد البشرية والرواتب ومجلدات الشبكة المشتركة</t>
        </is>
      </c>
      <c r="E19" s="80" t="inlineStr">
        <is>
          <t xml:space="preserve">وصول غير مصرح به إلى ملفات الموظفين الشخصية وبيانات الرواتب وتقييمات الأداء نتيجة صلاحيات موروثة أو زائدة</t>
        </is>
      </c>
      <c r="F19" s="80" t="inlineStr">
        <is>
          <t xml:space="preserve">غياب عملية مراجعة دورية لصلاحيات الوصول، وبقاء صلاحيات ممنوحة لمشاريع منتهية (فجوة G-10)، وعدم ربط إغلاق المشاريع بسحب الصلاحيات</t>
        </is>
      </c>
      <c r="G19" s="14" t="inlineStr">
        <is>
          <t xml:space="preserve">سرية (C)</t>
        </is>
      </c>
      <c r="H19" s="14" t="inlineStr">
        <is>
          <t xml:space="preserve">مدير إدارة الموارد البشرية</t>
        </is>
      </c>
      <c r="I19" s="14" t="inlineStr">
        <is>
          <t xml:space="preserve">مجموعات أمنية في Active Directory، وصلاحيات على مستوى المجلدات، ومراجعة روتينية غير مجدولة كشفت الحالة السابقة</t>
        </is>
      </c>
      <c r="J19" s="14">
        <v>4</v>
      </c>
      <c r="K19" s="14" t="inlineStr">
        <is>
          <t xml:space="preserve">رُصدت الحالة فعلاً في 2026-06-21 (INC-2026-009) وكانت الصلاحيات قائمة منذ سنتين دون اكتشاف، مما يؤكد تكرار السبب الجذري.</t>
        </is>
      </c>
      <c r="L19" s="14">
        <v>3</v>
      </c>
      <c r="M19" s="14" t="inlineStr">
        <is>
          <t xml:space="preserve">كشف بيانات شخصية لـ2,500 موظف يترتب عليه مخالفات لنظام حماية البيانات الشخصية وشكاوى عمالية وأثر سمعة داخلي بخسائر 1 إلى 5 ملايين ريال.</t>
        </is>
      </c>
      <c r="N19" s="12">
        <f>IFERROR(RiskAssessment[[#This Row],[الاحتمالية]]*RiskAssessment[[#This Row],[التأثير]],"غير محسوب")</f>
        <v>12</v>
      </c>
      <c r="O19" s="12">
        <f>IF(N19="غير محسوب","غير محسوب",IF(N19&gt;=16,"حرج",IF(N19&gt;=11,"مرتفع",IF(N19&gt;=5,"متوسط","منخفض"))))</f>
        <v>مرتفع</v>
      </c>
      <c r="P19" s="14" t="inlineStr">
        <is>
          <t xml:space="preserve">التخفيف</t>
        </is>
      </c>
      <c r="Q19" s="14" t="inlineStr">
        <is>
          <t xml:space="preserve">1) تنفيذ مراجعة ربع سنوية لإجمالي صلاحيات الوصول (UAR) يوقّعها مالك كل أصل. 2) إدراج بند سحب الصلاحيات في قائمة إنجاز إغلاق أي مشروع. 3) تطبيق مبدأ الحد الأدنى من الصلاحيات وإعادة هيكلة مجموعات AD للبيانات الحساسة. 4) تنبيه آلي عند إضافة حساب لمجموعة ذات صلاحية على بيانات حساسة.</t>
        </is>
      </c>
      <c r="R19" s="14" t="inlineStr">
        <is>
          <t xml:space="preserve">A.5.18، A.5.15، A.8.3، A.5.3</t>
        </is>
      </c>
      <c r="S19" s="100">
        <v>180000</v>
      </c>
      <c r="T19" s="14" t="inlineStr">
        <is>
          <t xml:space="preserve">مدير قسم البنية التحتية والشبكات</t>
        </is>
      </c>
      <c r="U19" s="14" t="inlineStr">
        <is>
          <t xml:space="preserve">2026-10-31</t>
        </is>
      </c>
      <c r="V19" s="14">
        <v>0.75</v>
      </c>
      <c r="W19" s="14" t="inlineStr">
        <is>
          <t xml:space="preserve">قيد التنفيذ</t>
        </is>
      </c>
      <c r="X19" s="14">
        <v>2</v>
      </c>
      <c r="Y19" s="14" t="inlineStr">
        <is>
          <t xml:space="preserve">المراجعة الربع سنوية والتنبيهات الآلية تجعل بقاء صلاحية زائدة لفترة طويلة أمراً نادراً.</t>
        </is>
      </c>
      <c r="Z19" s="14">
        <v>3</v>
      </c>
      <c r="AA19" s="14" t="inlineStr">
        <is>
          <t xml:space="preserve">يبقى أثر أي انكشاف لبيانات الموظفين متوسطاً لارتفاعه خلال فترة بقاء الصلاحية.</t>
        </is>
      </c>
      <c r="AB19" s="12">
        <f>IFERROR(RiskAssessment[[#This Row],[الاحتمالية بعد المعالجة]]*RiskAssessment[[#This Row],[التأثير بعد المعالجة]],"غير محسوب")</f>
        <v>6</v>
      </c>
      <c r="AC19" s="12">
        <f>IF(AB19="غير محسوب","غير محسوب",IF(AB19&gt;=16,"حرج",IF(AB19&gt;=11,"مرتفع",IF(AB19&gt;=5,"متوسط","منخفض"))))</f>
        <v>متوسط</v>
      </c>
      <c r="AD19" s="14" t="inlineStr">
        <is>
          <t xml:space="preserve">مرتبط بالحادثة INC-2026-009 وبنتيجة التدقيق الداخلي (حالة عدم مطابقة NC-02).</t>
        </is>
      </c>
    </row>
    <row r="20" spans="2:30" x14ac:dyDescent="0.25">
      <c r="B20" s="14" t="inlineStr">
        <is>
          <t xml:space="preserve">R-007</t>
        </is>
      </c>
      <c r="C20" s="14" t="inlineStr">
        <is>
          <t xml:space="preserve">البنية التحتية والأجهزة</t>
        </is>
      </c>
      <c r="D20" s="14" t="inlineStr">
        <is>
          <t xml:space="preserve">أجهزة المستخدم النهائي المحمولة والنسخ المحلية من بيانات العملاء</t>
        </is>
      </c>
      <c r="E20" s="80" t="inlineStr">
        <is>
          <t xml:space="preserve">فقدان أو سرقة حاسوب محمول أو جهاز ذكي يحتوي بيانات عملاء أو بيانات مصرفية غير مشفرة</t>
        </is>
      </c>
      <c r="F20" s="80" t="inlineStr">
        <is>
          <t xml:space="preserve">تشفير BitLocker غير مفعل على جميع الأجهزة (92% حالياً)، وتخزين موظفين نسخاً محلية من بيانات العملاء، وتأخر الإبلاغ عن الفقدان</t>
        </is>
      </c>
      <c r="G20" s="14" t="inlineStr">
        <is>
          <t xml:space="preserve">سرية (C)</t>
        </is>
      </c>
      <c r="H20" s="14" t="inlineStr">
        <is>
          <t xml:space="preserve">مدير قسم الدعم الفني</t>
        </is>
      </c>
      <c r="I20" s="14" t="inlineStr">
        <is>
          <t xml:space="preserve">كلمات مرور للأجهزة، وحظر تخزين بيانات العملاء جزئياً عبر سياسة الاستخدام المقبول، وسجل أصول للأجهزة</t>
        </is>
      </c>
      <c r="J20" s="14">
        <v>3</v>
      </c>
      <c r="K20" s="14" t="inlineStr">
        <is>
          <t xml:space="preserve">وقعت حادثة فعلية قبل 9 أشهر (INC-2025-011) والأجهزة متنقلة بين الفروع ورحلات العمل؛ 8% من الأجهزة ما زالت غير مشفرة.</t>
        </is>
      </c>
      <c r="L20" s="14">
        <v>4</v>
      </c>
      <c r="M20" s="14" t="inlineStr">
        <is>
          <t xml:space="preserve">تسريب بيانات عملاء يوجب إبلاغ ساما وسدايا والعملاء المتأثرين، مع غرامة تنظيمية وتكاليف خدمات مراقبة سرقة الهوية وخسائر 5 إلى 25 مليون ريال.</t>
        </is>
      </c>
      <c r="N20" s="12">
        <f>IFERROR(RiskAssessment[[#This Row],[الاحتمالية]]*RiskAssessment[[#This Row],[التأثير]],"غير محسوب")</f>
        <v>12</v>
      </c>
      <c r="O20" s="12">
        <f>IF(N20="غير محسوب","غير محسوب",IF(N20&gt;=16,"حرج",IF(N20&gt;=11,"مرتفع",IF(N20&gt;=5,"متوسط","منخفض"))))</f>
        <v>مرتفع</v>
      </c>
      <c r="P20" s="14" t="inlineStr">
        <is>
          <t xml:space="preserve">التخفيف</t>
        </is>
      </c>
      <c r="Q20" s="14" t="inlineStr">
        <is>
          <t xml:space="preserve">1) إكمال تفعيل BitLocker على 100% من الأجهزة المحمولة عبر Intune خلال 30 يوماً. 2) منع تخزين بيانات العملاء محلياً وتطبيق DLP على الأجهزة الطرفية. 3) خفض زمن الإبلاغ الإلزامي عن فقدان أي جهاز إلى 4 ساعات. 4) إمكانية المسح عن بُعد (Remote Wipe) لجميع الأجهزة المسجلة.</t>
        </is>
      </c>
      <c r="R20" s="14" t="inlineStr">
        <is>
          <t xml:space="preserve">A.7.9، A.7.10، A.7.14، A.8.24، A.8.12</t>
        </is>
      </c>
      <c r="S20" s="100">
        <v>320000</v>
      </c>
      <c r="T20" s="14" t="inlineStr">
        <is>
          <t xml:space="preserve">مدير قسم الدعم الفني</t>
        </is>
      </c>
      <c r="U20" s="14" t="inlineStr">
        <is>
          <t xml:space="preserve">2026-10-31</t>
        </is>
      </c>
      <c r="V20" s="14">
        <v>0.85</v>
      </c>
      <c r="W20" s="14" t="inlineStr">
        <is>
          <t xml:space="preserve">قيد التنفيذ</t>
        </is>
      </c>
      <c r="X20" s="14">
        <v>2</v>
      </c>
      <c r="Y20" s="14" t="inlineStr">
        <is>
          <t xml:space="preserve">التشفير الكامل يجعل فقد الجهاز غير مؤثر على سرية البيانات، ويبقى احتمال الفقدان نفسه قائماً.</t>
        </is>
      </c>
      <c r="Z20" s="14">
        <v>2</v>
      </c>
      <c r="AA20" s="14" t="inlineStr">
        <is>
          <t xml:space="preserve">مع التشفير ومنع التخزين المحلي ينخفض الأثر إلى تعطيل عمل موظف واحد دون انكشاف بيانات.</t>
        </is>
      </c>
      <c r="AB20" s="12">
        <f>IFERROR(RiskAssessment[[#This Row],[الاحتمالية بعد المعالجة]]*RiskAssessment[[#This Row],[التأثير بعد المعالجة]],"غير محسوب")</f>
        <v>4</v>
      </c>
      <c r="AC20" s="12">
        <f>IF(AB20="غير محسوب","غير محسوب",IF(AB20&gt;=16,"حرج",IF(AB20&gt;=11,"مرتفع",IF(AB20&gt;=5,"متوسط","منخفض"))))</f>
        <v>منخفض</v>
      </c>
      <c r="AD20" s="14" t="inlineStr">
        <is>
          <t xml:space="preserve">مرتبط بالحادثة INC-2025-011 والفجوة G-08؛ مؤشر الأداء: نسبة الأجهزة المشفرة.</t>
        </is>
      </c>
    </row>
    <row r="21" spans="2:30" x14ac:dyDescent="0.25">
      <c r="B21" s="14" t="inlineStr">
        <is>
          <t xml:space="preserve">R-008</t>
        </is>
      </c>
      <c r="C21" s="14" t="inlineStr">
        <is>
          <t xml:space="preserve">البيانات التقنية والأمنية</t>
        </is>
      </c>
      <c r="D21" s="14" t="inlineStr">
        <is>
          <t xml:space="preserve">الشهادات الرقمية ومفاتيح التشفير لموقع البنك وبوابة آفاق نت</t>
        </is>
      </c>
      <c r="E21" s="80" t="inlineStr">
        <is>
          <t xml:space="preserve">انتهاء صلاحية الشهادات الرقمية (SSL/TLS) أو إساءة إدارة مفاتيح التشفير بما يعطل الخدمات أو يفك تشفير الاتصالات</t>
        </is>
      </c>
      <c r="F21" s="80" t="inlineStr">
        <is>
          <t xml:space="preserve">عدم وجود سجل مركزي للشهادات الرقمية ولا نظام آلي للتنبيه قبل انتهاء الصلاحية (سبب الحادثة INC-2026-004)</t>
        </is>
      </c>
      <c r="G21" s="14" t="inlineStr">
        <is>
          <t xml:space="preserve">توافر (A)</t>
        </is>
      </c>
      <c r="H21" s="14" t="inlineStr">
        <is>
          <t xml:space="preserve">مدير قسم البنية التحتية والشبكات</t>
        </is>
      </c>
      <c r="I21" s="14" t="inlineStr">
        <is>
          <t xml:space="preserve">متابعة يدوية غير منتظمة لتواريخ الانتهاء من قبل فريق البنية التحتية</t>
        </is>
      </c>
      <c r="J21" s="14">
        <v>3</v>
      </c>
      <c r="K21" s="14" t="inlineStr">
        <is>
          <t xml:space="preserve">وقعت الحادثة فعلاً قبل 6 أشهر واستمرت 4 ساعات؛ والمتابعة ما زالت يدوية جزئياً رغم بدء تنفيذ السجل المركزي.</t>
        </is>
      </c>
      <c r="L21" s="14">
        <v>3</v>
      </c>
      <c r="M21" s="14" t="inlineStr">
        <is>
          <t xml:space="preserve">ظهور تحذيرات أمنية للعملاء وأثر سمعة واسع استغرق أسبوعاً لمعالجته، مع خسائر 1 إلى 5 ملايين ريال واحتمال ملاحظات رقابية.</t>
        </is>
      </c>
      <c r="N21" s="12">
        <f>IFERROR(RiskAssessment[[#This Row],[الاحتمالية]]*RiskAssessment[[#This Row],[التأثير]],"غير محسوب")</f>
        <v>9</v>
      </c>
      <c r="O21" s="12">
        <f>IF(N21="غير محسوب","غير محسوب",IF(N21&gt;=16,"حرج",IF(N21&gt;=11,"مرتفع",IF(N21&gt;=5,"متوسط","منخفض"))))</f>
        <v>متوسط</v>
      </c>
      <c r="P21" s="14" t="inlineStr">
        <is>
          <t xml:space="preserve">التخفيف</t>
        </is>
      </c>
      <c r="Q21" s="14" t="inlineStr">
        <is>
          <t xml:space="preserve">1) إنشاء سجل مركزي لجميع الشهادات الرقمية ومفاتيح التشفير مع مالك محدد لكل شهادة. 2) تنبيه آلي قبل 60 و30 و7 أيام من انتهاء الصلاحية. 3) أتمتة تجديد الشهادات الداخلية عبر خدمات الشهادات المؤسسية. 4) إدراج الشهادات في قائمة المراجعة الشهرية للعمليات.</t>
        </is>
      </c>
      <c r="R21" s="14" t="inlineStr">
        <is>
          <t xml:space="preserve">A.8.24، A.5.9، A.5.37، A.8.16</t>
        </is>
      </c>
      <c r="S21" s="100">
        <v>90000</v>
      </c>
      <c r="T21" s="14" t="inlineStr">
        <is>
          <t xml:space="preserve">مدير قسم البنية التحتية والشبكات</t>
        </is>
      </c>
      <c r="U21" s="14" t="inlineStr">
        <is>
          <t xml:space="preserve">2026-09-30</t>
        </is>
      </c>
      <c r="V21" s="14">
        <v>1.0</v>
      </c>
      <c r="W21" s="14" t="inlineStr">
        <is>
          <t xml:space="preserve">مكتمل</t>
        </is>
      </c>
      <c r="X21" s="14">
        <v>1</v>
      </c>
      <c r="Y21" s="14" t="inlineStr">
        <is>
          <t xml:space="preserve">الأتمتة والتنبيهات المتدرجة تجعل انتهاء صلاحية شهادة دون انتباه أمراً نادر الحدوث جداً.</t>
        </is>
      </c>
      <c r="Z21" s="14">
        <v>3</v>
      </c>
      <c r="AA21" s="14" t="inlineStr">
        <is>
          <t xml:space="preserve">يبقى الأثر متوسطاً في حال فشل عملية تجديد محددة بسبب أثره المباشر على ثقة العملاء.</t>
        </is>
      </c>
      <c r="AB21" s="12">
        <f>IFERROR(RiskAssessment[[#This Row],[الاحتمالية بعد المعالجة]]*RiskAssessment[[#This Row],[التأثير بعد المعالجة]],"غير محسوب")</f>
        <v>3</v>
      </c>
      <c r="AC21" s="12">
        <f>IF(AB21="غير محسوب","غير محسوب",IF(AB21&gt;=16,"حرج",IF(AB21&gt;=11,"مرتفع",IF(AB21&gt;=5,"متوسط","منخفض"))))</f>
        <v>منخفض</v>
      </c>
      <c r="AD21" s="14" t="inlineStr">
        <is>
          <t xml:space="preserve">مرتبط بالحادثة INC-2026-004؛ يُقاس بمؤشر: عدد الشهادات المنتهية دون تجديد (المستهدف صفر).</t>
        </is>
      </c>
    </row>
    <row r="22" spans="2:30" x14ac:dyDescent="0.25">
      <c r="B22" s="14" t="inlineStr">
        <is>
          <t xml:space="preserve">R-009</t>
        </is>
      </c>
      <c r="C22" s="14" t="inlineStr">
        <is>
          <t xml:space="preserve">أنظمة أمن المعلومات</t>
        </is>
      </c>
      <c r="D22" s="14" t="inlineStr">
        <is>
          <t xml:space="preserve">جدار الحماية الرئيسي وقنوات الخدمات المصرفية الرقمية ووثائق الشبكة</t>
        </is>
      </c>
      <c r="E22" s="80" t="inlineStr">
        <is>
          <t xml:space="preserve">خطأ بشري أثناء تنفيذ تغييرات على إعدادات الشبكة أو جدار الحماية يؤدي إلى انقطاع الخدمات المصرفية الرقمية</t>
        </is>
      </c>
      <c r="F22" s="80" t="inlineStr">
        <is>
          <t xml:space="preserve">عدم وجود مراجعة ثنائية (Four-Eyes) للتغييرات الحرجة، وغياب خطة تراجع سريعة، وضعف مراقبة أداء وتوافر التطبيقات (فجوة G-07)</t>
        </is>
      </c>
      <c r="G22" s="14" t="inlineStr">
        <is>
          <t xml:space="preserve">سلامة وتوافر (IA)</t>
        </is>
      </c>
      <c r="H22" s="14" t="inlineStr">
        <is>
          <t xml:space="preserve">مدير قسم البنية التحتية والشبكات</t>
        </is>
      </c>
      <c r="I22" s="14" t="inlineStr">
        <is>
          <t xml:space="preserve">إجراءات تغيير موثقة جزئياً، وبيئة اختبار منفصلة، ونسخ احتياطي لتكوينات الأجهزة</t>
        </is>
      </c>
      <c r="J22" s="14">
        <v>3</v>
      </c>
      <c r="K22" s="14" t="inlineStr">
        <is>
          <t xml:space="preserve">وقع الحادث الأكبر قبل عامين (INC-2024-001) واستمر 3 ساعات في ذروة فترة الرواتب؛ التغييرات الحرجة ما زالت تنفذ بوتيرة عالية مع توسع الخدمات.</t>
        </is>
      </c>
      <c r="L22" s="14">
        <v>5</v>
      </c>
      <c r="M22" s="14" t="inlineStr">
        <is>
          <t xml:space="preserve">انقطاع كامل للقنوات الرقمية لأكثر من 500,000 عميل، وأكثر من 5,000 شكوى، وخسائر تتجاوز 25 مليون ريال مع تدخل رقابي محتمل من ساما.</t>
        </is>
      </c>
      <c r="N22" s="12">
        <f>IFERROR(RiskAssessment[[#This Row],[الاحتمالية]]*RiskAssessment[[#This Row],[التأثير]],"غير محسوب")</f>
        <v>15</v>
      </c>
      <c r="O22" s="12">
        <f>IF(N22="غير محسوب","غير محسوب",IF(N22&gt;=16,"حرج",IF(N22&gt;=11,"مرتفع",IF(N22&gt;=5,"متوسط","منخفض"))))</f>
        <v>مرتفع</v>
      </c>
      <c r="P22" s="14" t="inlineStr">
        <is>
          <t xml:space="preserve">التخفيف</t>
        </is>
      </c>
      <c r="Q22" s="14" t="inlineStr">
        <is>
          <t xml:space="preserve">1) فرض مراجعة ثنائية إلزامية واعتماد مسبق لأي تغيير على أجهزة الشبكة وجدران الحماية. 2) توثيق خطة تراجع (Rollback) واختبارها لكل تغيير حرج. 3) مراقبة لحظية لتوافر التطبيقات الرئيسية مع تنبيه خلال دقيقة. 4) تنفيذ التغييرات الحرجة خارج أوقات الذروة ووفق نافذة تغيير معتمدة.</t>
        </is>
      </c>
      <c r="R22" s="14" t="inlineStr">
        <is>
          <t xml:space="preserve">A.8.32، A.8.20، A.8.21، A.5.37، A.8.16</t>
        </is>
      </c>
      <c r="S22" s="100">
        <v>450000</v>
      </c>
      <c r="T22" s="14" t="inlineStr">
        <is>
          <t xml:space="preserve">مدير إدارة تقنية المعلومات</t>
        </is>
      </c>
      <c r="U22" s="14" t="inlineStr">
        <is>
          <t xml:space="preserve">2026-10-31</t>
        </is>
      </c>
      <c r="V22" s="14">
        <v>0.8</v>
      </c>
      <c r="W22" s="14" t="inlineStr">
        <is>
          <t xml:space="preserve">قيد التنفيذ</t>
        </is>
      </c>
      <c r="X22" s="14">
        <v>1</v>
      </c>
      <c r="Y22" s="14" t="inlineStr">
        <is>
          <t xml:space="preserve">المراجعة الثنائية وخطة التراجع ونوافذ التغيير تجعل تكرار خطأ مماثل نادر الحدوث جداً.</t>
        </is>
      </c>
      <c r="Z22" s="14">
        <v>4</v>
      </c>
      <c r="AA22" s="14" t="inlineStr">
        <is>
          <t xml:space="preserve">يبقى أثر أي انقطاع غير متوقع كبيراً لاعتماد جميع الخدمات المصرفية على الشبكة.</t>
        </is>
      </c>
      <c r="AB22" s="12">
        <f>IFERROR(RiskAssessment[[#This Row],[الاحتمالية بعد المعالجة]]*RiskAssessment[[#This Row],[التأثير بعد المعالجة]],"غير محسوب")</f>
        <v>4</v>
      </c>
      <c r="AC22" s="12">
        <f>IF(AB22="غير محسوب","غير محسوب",IF(AB22&gt;=16,"حرج",IF(AB22&gt;=11,"مرتفع",IF(AB22&gt;=5,"متوسط","منخفض"))))</f>
        <v>منخفض</v>
      </c>
      <c r="AD22" s="14" t="inlineStr">
        <is>
          <t xml:space="preserve">مرتبط بالحادثة INC-2024-001 والفجوة G-07؛ الدروس المستفادة موثقة الآن ضمن إجراء إدارة التغيير.</t>
        </is>
      </c>
    </row>
    <row r="23" spans="2:30" x14ac:dyDescent="0.25">
      <c r="B23" s="14" t="inlineStr">
        <is>
          <t xml:space="preserve">R-010</t>
        </is>
      </c>
      <c r="C23" s="14" t="inlineStr">
        <is>
          <t xml:space="preserve">التطبيقات المصرفية</t>
        </is>
      </c>
      <c r="D23" s="14" t="inlineStr">
        <is>
          <t xml:space="preserve">القنوات الرقمية (آفاق بلس وآفاق نت) ونظام الدفعات الفورية وروابط الاتصال</t>
        </is>
      </c>
      <c r="E23" s="80" t="inlineStr">
        <is>
          <t xml:space="preserve">هجوم حجب الخدمة الموزع (DDoS) يعطّل الخدمات المصرفية الرقمية وشبكة المدفوعات الفورية</t>
        </is>
      </c>
      <c r="F23" s="80" t="inlineStr">
        <is>
          <t xml:space="preserve">عدم وجود خدمة تنظيف حركة مرور (Scrubbing) مخصصة، واعتماد الحماية على جدران الحماية وحدود النطاق الترددي للمزود</t>
        </is>
      </c>
      <c r="G23" s="14" t="inlineStr">
        <is>
          <t xml:space="preserve">توافر (A)</t>
        </is>
      </c>
      <c r="H23" s="14" t="inlineStr">
        <is>
          <t xml:space="preserve">مدير إدارة تقنية المعلومات</t>
        </is>
      </c>
      <c r="I23" s="14" t="inlineStr">
        <is>
          <t xml:space="preserve">روابط اتصال مزدوجة مع مزود الإنترنت، وجدار حماية بخاصية منع التسلل، ومراقبة يدوية لحجم الحركة</t>
        </is>
      </c>
      <c r="J23" s="14">
        <v>4</v>
      </c>
      <c r="K23" s="14" t="inlineStr">
        <is>
          <t xml:space="preserve">هجمات DDoS على البنوك الرقمية في المنطقة متكررة، والبنك يعتمد كلياً على القنوات الرقمية في تجربة العميل، والحماية الحالية غير متخصصة.</t>
        </is>
      </c>
      <c r="L23" s="14">
        <v>4</v>
      </c>
      <c r="M23" s="14" t="inlineStr">
        <is>
          <t xml:space="preserve">تعطل القنوات الرقمية لساعات في أوقات الذروة بخسائر 5 إلى 25 مليون ريال، وفقدان ثقة العملاء، واحتمال ملاحظات من ساما بشأن التوافر.</t>
        </is>
      </c>
      <c r="N23" s="12">
        <f>IFERROR(RiskAssessment[[#This Row],[الاحتمالية]]*RiskAssessment[[#This Row],[التأثير]],"غير محسوب")</f>
        <v>16</v>
      </c>
      <c r="O23" s="12">
        <f>IF(N23="غير محسوب","غير محسوب",IF(N23&gt;=16,"حرج",IF(N23&gt;=11,"مرتفع",IF(N23&gt;=5,"متوسط","منخفض"))))</f>
        <v>حرج</v>
      </c>
      <c r="P23" s="14" t="inlineStr">
        <is>
          <t xml:space="preserve">التخفيف</t>
        </is>
      </c>
      <c r="Q23" s="14" t="inlineStr">
        <is>
          <t xml:space="preserve">1) التعاقد مع خدمة تنظيف حركة مرور (DDoS Scrubbing) مع مزود متخصص. 2) توزيع الحمل واستخدام CDN للمحتوى الثابت. 3) خطة استجابة محددة لسيناريو DDoS ضمن BCP مع اختبار سنوي. 4) اتفاقية مستوى خدمة مع STC لضمان سعة احتياطية.</t>
        </is>
      </c>
      <c r="R23" s="14" t="inlineStr">
        <is>
          <t xml:space="preserve">A.8.6، A.8.14، A.5.29، A.5.30، A.8.20</t>
        </is>
      </c>
      <c r="S23" s="100">
        <v>1350000</v>
      </c>
      <c r="T23" s="14" t="inlineStr">
        <is>
          <t xml:space="preserve">مدير قسم البنية التحتية والشبكات</t>
        </is>
      </c>
      <c r="U23" s="14" t="inlineStr">
        <is>
          <t xml:space="preserve">2026-12-31</t>
        </is>
      </c>
      <c r="V23" s="14">
        <v>0.25</v>
      </c>
      <c r="W23" s="14" t="inlineStr">
        <is>
          <t xml:space="preserve">قيد التنفيذ</t>
        </is>
      </c>
      <c r="X23" s="14">
        <v>3</v>
      </c>
      <c r="Y23" s="14" t="inlineStr">
        <is>
          <t xml:space="preserve">خدمة التنظيف وتوزيع الحمل تخفضان الاحتمالية، لكن تبقى البنوك الرقمية هدفاً مستمراً لهجمات واسعة النطاق قد تتجاوز السعة المتعاقد عليها.</t>
        </is>
      </c>
      <c r="Z23" s="14">
        <v>4</v>
      </c>
      <c r="AA23" s="14" t="inlineStr">
        <is>
          <t xml:space="preserve">يبقى الأثر كبيراً في حال هجوم يفوق سعة التنظيف، وإن تحوّل الانقطاع الكامل إلى تعطيل جزئي ومؤقت لبعض الخدمات.</t>
        </is>
      </c>
      <c r="AB23" s="12">
        <f>IFERROR(RiskAssessment[[#This Row],[الاحتمالية بعد المعالجة]]*RiskAssessment[[#This Row],[التأثير بعد المعالجة]],"غير محسوب")</f>
        <v>12</v>
      </c>
      <c r="AC23" s="12">
        <f>IF(AB23="غير محسوب","غير محسوب",IF(AB23&gt;=16,"حرج",IF(AB23&gt;=11,"مرتفع",IF(AB23&gt;=5,"متوسط","منخفض"))))</f>
        <v>مرتفع</v>
      </c>
      <c r="AD23" s="14" t="inlineStr">
        <is>
          <t xml:space="preserve">خطر متبقٍ مرتفع (12) مقبول من لجنة المخاطر بتاريخ 2026-04-12 مع مراقبة شهرية وتنبيه فوري لأي هجوم يتجاوز سعة التنظيف؛ مرتبط بسيناريو BCP-02.</t>
        </is>
      </c>
    </row>
    <row r="24" spans="2:30" x14ac:dyDescent="0.25">
      <c r="B24" s="14" t="inlineStr">
        <is>
          <t xml:space="preserve">R-011</t>
        </is>
      </c>
      <c r="C24" s="14" t="inlineStr">
        <is>
          <t xml:space="preserve">البنية التحتية والأجهزة</t>
        </is>
      </c>
      <c r="D24" s="14" t="inlineStr">
        <is>
          <t xml:space="preserve">خادم النسخ الاحتياطي ومكتبة الأشرطة وأنظمة التخزين المركزية</t>
        </is>
      </c>
      <c r="E24" s="80" t="inlineStr">
        <is>
          <t xml:space="preserve">فشل النسخ الاحتياطي أو عدم قابلية الاستعادة عند الحاجة إليها بسبب أخطاء تشغيلية أو تلف وسائط أو إصابة النسخ</t>
        </is>
      </c>
      <c r="F24" s="80" t="inlineStr">
        <is>
          <t xml:space="preserve">عدم إجراء اختبارات استعادة دورية موثقة، وارتباط خادم النسخ الاحتياطي بالشبكة دون عزل، ومراقبة يدوية لنجاح مهام النسخ</t>
        </is>
      </c>
      <c r="G24" s="14" t="inlineStr">
        <is>
          <t xml:space="preserve">سلامة وتوافر (IA)</t>
        </is>
      </c>
      <c r="H24" s="14" t="inlineStr">
        <is>
          <t xml:space="preserve">مدير قسم البنية التحتية والشبكات</t>
        </is>
      </c>
      <c r="I24" s="14" t="inlineStr">
        <is>
          <t xml:space="preserve">جدول نسخ احتياطي يومي عبر Veritas NetBackup، ونقل أشرطة أسبوعي إلى موقع خارجي في جدة، ومراجعة يدوية لسجلات المهام</t>
        </is>
      </c>
      <c r="J24" s="14">
        <v>2</v>
      </c>
      <c r="K24" s="14" t="inlineStr">
        <is>
          <t xml:space="preserve">النسخ يُنفذ يومياً بنجاح بنسبة 97% ولم تُسجل حالة فشل شامل سابقة، لكن غياب اختبارات الاستعادة الدورية يُبقي احتمال الفشل غير المكتشف قائماً.</t>
        </is>
      </c>
      <c r="L24" s="14">
        <v>5</v>
      </c>
      <c r="M24" s="14" t="inlineStr">
        <is>
          <t xml:space="preserve">فقدان بيانات العملاء أو المعاملات غير قابل للاستعادة يعني خسائر تتجاوز 25 مليون ريال وعقوبات رقابية مشددة وتهديداً لاستمرارية البنك.</t>
        </is>
      </c>
      <c r="N24" s="12">
        <f>IFERROR(RiskAssessment[[#This Row],[الاحتمالية]]*RiskAssessment[[#This Row],[التأثير]],"غير محسوب")</f>
        <v>10</v>
      </c>
      <c r="O24" s="12">
        <f>IF(N24="غير محسوب","غير محسوب",IF(N24&gt;=16,"حرج",IF(N24&gt;=11,"مرتفع",IF(N24&gt;=5,"متوسط","منخفض"))))</f>
        <v>متوسط</v>
      </c>
      <c r="P24" s="14" t="inlineStr">
        <is>
          <t xml:space="preserve">التخفيف</t>
        </is>
      </c>
      <c r="Q24" s="14" t="inlineStr">
        <is>
          <t xml:space="preserve">1) اختبار استعادة كامل ربع سنوي موثق النتائج لقواعد البيانات الحرجة. 2) تفعيل نسخ غير قابلة للتعديل (Immutable) ومعزولة عن نطاق AD. 3) تنبيه آلي فوري عند فشل أي مهمة نسخ ومتابعة يومية من SOC. 4) تدوير وسائط الأشرطة واستبدالها وفق دورة حياة معتمدة.</t>
        </is>
      </c>
      <c r="R24" s="14" t="inlineStr">
        <is>
          <t xml:space="preserve">A.8.13، A.8.14، A.5.30، A.8.16</t>
        </is>
      </c>
      <c r="S24" s="100">
        <v>780000</v>
      </c>
      <c r="T24" s="14" t="inlineStr">
        <is>
          <t xml:space="preserve">مدير قسم البنية التحتية والشبكات</t>
        </is>
      </c>
      <c r="U24" s="14" t="inlineStr">
        <is>
          <t xml:space="preserve">2026-12-31</t>
        </is>
      </c>
      <c r="V24" s="14">
        <v>0.45</v>
      </c>
      <c r="W24" s="14" t="inlineStr">
        <is>
          <t xml:space="preserve">قيد التنفيذ</t>
        </is>
      </c>
      <c r="X24" s="14">
        <v>1</v>
      </c>
      <c r="Y24" s="14" t="inlineStr">
        <is>
          <t xml:space="preserve">اختبارات الاستعادة الربع سنوية والنسخ المعزولة تجعل فشل الاستعادة نادر الحدوث جداً.</t>
        </is>
      </c>
      <c r="Z24" s="14">
        <v>4</v>
      </c>
      <c r="AA24" s="14" t="inlineStr">
        <is>
          <t xml:space="preserve">يبقى الأثر كبيراً في سيناريو الفشل الجزئي رغم الضوابط لأهمية البيانات المنسوخة.</t>
        </is>
      </c>
      <c r="AB24" s="12">
        <f>IFERROR(RiskAssessment[[#This Row],[الاحتمالية بعد المعالجة]]*RiskAssessment[[#This Row],[التأثير بعد المعالجة]],"غير محسوب")</f>
        <v>4</v>
      </c>
      <c r="AC24" s="12">
        <f>IF(AB24="غير محسوب","غير محسوب",IF(AB24&gt;=16,"حرج",IF(AB24&gt;=11,"مرتفع",IF(AB24&gt;=5,"متوسط","منخفض"))))</f>
        <v>منخفض</v>
      </c>
      <c r="AD24" s="14" t="inlineStr">
        <is>
          <t xml:space="preserve">مرتبط بهدف زمن الاستعادة (RTO) وهدف نقطة الاستعادة (RPO) في خطة BCP/DR ومؤشر نجاح النسخ الاحتياطي.</t>
        </is>
      </c>
    </row>
    <row r="25" spans="2:30" x14ac:dyDescent="0.25">
      <c r="B25" s="14" t="inlineStr">
        <is>
          <t xml:space="preserve">R-012</t>
        </is>
      </c>
      <c r="C25" s="14" t="inlineStr">
        <is>
          <t xml:space="preserve">المرافق والأمن المادي</t>
        </is>
      </c>
      <c r="D25" s="14" t="inlineStr">
        <is>
          <t xml:space="preserve">مركز البيانات الرئيسي والبنية التحتية للمرافق والخوادم الفعلية</t>
        </is>
      </c>
      <c r="E25" s="80" t="inlineStr">
        <is>
          <t xml:space="preserve">كارثة مادية (حريق، فشل تكييف، انقطاع طاقة مطوّل، تسرب مياه) تعطل مركز البيانات الرئيسي في الرياض</t>
        </is>
      </c>
      <c r="F25" s="80" t="inlineStr">
        <is>
          <t xml:space="preserve">اعتماد العمليات على موقع واحد رئيسي، وصيانة وقائية ربع سنوية فقط للمولدات، وعدم اختبار خطة الانتقال إلى مركز التعافي بجدة خلال آخر 12 شهراً</t>
        </is>
      </c>
      <c r="G25" s="14" t="inlineStr">
        <is>
          <t xml:space="preserve">توافر (A)</t>
        </is>
      </c>
      <c r="H25" s="14" t="inlineStr">
        <is>
          <t xml:space="preserve">مدير إدارة المرافق والخدمات العامة</t>
        </is>
      </c>
      <c r="I25" s="14" t="inlineStr">
        <is>
          <t xml:space="preserve">أنظمة UPS ومولدات احتياطية وتكييف دقيق وأنظمة إخماد حريق، ومركز تعافي من الكوارث في جدة، وروابط مزدوجة</t>
        </is>
      </c>
      <c r="J25" s="14">
        <v>2</v>
      </c>
      <c r="K25" s="14" t="inlineStr">
        <is>
          <t xml:space="preserve">مركز البيانات من المستوى الثالث (Tier III) مع مرافق redundant، ولم تُسجل حوادث مادية جوهرية سابقاً؛ يبقى احتمال الحريق أو فشل الطاقة قائماً.</t>
        </is>
      </c>
      <c r="L25" s="14">
        <v>5</v>
      </c>
      <c r="M25" s="14" t="inlineStr">
        <is>
          <t xml:space="preserve">تعطل جميع الأنظمة المصرفية وخسائر تتجاوز 25 مليون ريال يومياً، مع التزام بالإبلاغ الفوري لساما وأثر سمعة جسيم.</t>
        </is>
      </c>
      <c r="N25" s="12">
        <f>IFERROR(RiskAssessment[[#This Row],[الاحتمالية]]*RiskAssessment[[#This Row],[التأثير]],"غير محسوب")</f>
        <v>10</v>
      </c>
      <c r="O25" s="12">
        <f>IF(N25="غير محسوب","غير محسوب",IF(N25&gt;=16,"حرج",IF(N25&gt;=11,"مرتفع",IF(N25&gt;=5,"متوسط","منخفض"))))</f>
        <v>متوسط</v>
      </c>
      <c r="P25" s="14" t="inlineStr">
        <is>
          <t xml:space="preserve">التخفيف</t>
        </is>
      </c>
      <c r="Q25" s="14" t="inlineStr">
        <is>
          <t xml:space="preserve">1) اختبار شامل للانتقال إلى مركز التعافي بجدة مرة سنوياً موثق النتائج. 2) رفع الصيانة الوقائية للمولدات وUPS إلى شهرية مع اختبار حِمل فعلي. 3) تحديث تحليل أثر الأعمال (BIA) واعتماد أهداف RTO/RPO. 4) تأمين المرافق ضد الكوارث ضمن وثيقة التأمين الشاملة.</t>
        </is>
      </c>
      <c r="R25" s="14" t="inlineStr">
        <is>
          <t xml:space="preserve">A.5.29، A.5.30، A.7.5، A.7.11، A.8.14</t>
        </is>
      </c>
      <c r="S25" s="100">
        <v>650000</v>
      </c>
      <c r="T25" s="14" t="inlineStr">
        <is>
          <t xml:space="preserve">مدير إدارة تقنية المعلومات</t>
        </is>
      </c>
      <c r="U25" s="14" t="inlineStr">
        <is>
          <t xml:space="preserve">2026-11-30</t>
        </is>
      </c>
      <c r="V25" s="14">
        <v>0.55</v>
      </c>
      <c r="W25" s="14" t="inlineStr">
        <is>
          <t xml:space="preserve">قيد التنفيذ</t>
        </is>
      </c>
      <c r="X25" s="14">
        <v>1</v>
      </c>
      <c r="Y25" s="14" t="inlineStr">
        <is>
          <t xml:space="preserve">وجود مركز تعافي جغرافياً معزولاً ومُختبر يجعل تحقق الأثر الكامل للكارثة نادر الحدوث جداً.</t>
        </is>
      </c>
      <c r="Z25" s="14">
        <v>4</v>
      </c>
      <c r="AA25" s="14" t="inlineStr">
        <is>
          <t xml:space="preserve">يبقى أثر الانتقال نفسه كبيراً خلال نافذة الاستعادة حتى اكتمال رفع قدرات مركز جدة.</t>
        </is>
      </c>
      <c r="AB25" s="12">
        <f>IFERROR(RiskAssessment[[#This Row],[الاحتمالية بعد المعالجة]]*RiskAssessment[[#This Row],[التأثير بعد المعالجة]],"غير محسوب")</f>
        <v>4</v>
      </c>
      <c r="AC25" s="12">
        <f>IF(AB25="غير محسوب","غير محسوب",IF(AB25&gt;=16,"حرج",IF(AB25&gt;=11,"مرتفع",IF(AB25&gt;=5,"متوسط","منخفض"))))</f>
        <v>منخفض</v>
      </c>
      <c r="AD25" s="14" t="inlineStr">
        <is>
          <t xml:space="preserve">مرتبط بسيناريوهات BCP-01 وBCP-07 ومؤشر: نجاح اختبار التعافي السنوي.</t>
        </is>
      </c>
    </row>
    <row r="26" spans="2:30" x14ac:dyDescent="0.25">
      <c r="B26" s="14" t="inlineStr">
        <is>
          <t xml:space="preserve">R-013</t>
        </is>
      </c>
      <c r="C26" s="14" t="inlineStr">
        <is>
          <t xml:space="preserve">الموردون والخدمات الخارجية</t>
        </is>
      </c>
      <c r="D26" s="14" t="inlineStr">
        <is>
          <t xml:space="preserve">شركة تطوير تطبيقات الهاتف المتعاقد معها لتطوير جزء من تطبيق آفاق بلس</t>
        </is>
      </c>
      <c r="E26" s="80" t="inlineStr">
        <is>
          <t xml:space="preserve">اختراق بيئة المورد أو إساءة استخدامه لصلاحياته بما يؤدي إلى تسريب الكود المصدري أو إدخال ثغرات أو أبواب خلفية في تطبيق آفاق بلس</t>
        </is>
      </c>
      <c r="F26" s="80" t="inlineStr">
        <is>
          <t xml:space="preserve">منح المطورين الخارجيين وصولاً إلى مستودع الكود وبيئة الاختبار دون متطلبات أمنية تعاقدية مفصلة، واستخدام بيانات حقيقية في الاختبار (فجوة G-04)</t>
        </is>
      </c>
      <c r="G26" s="14" t="inlineStr">
        <is>
          <t xml:space="preserve">سرية وسلامة (CI)</t>
        </is>
      </c>
      <c r="H26" s="14" t="inlineStr">
        <is>
          <t xml:space="preserve">إدارة المشتريات والعقود</t>
        </is>
      </c>
      <c r="I26" s="14" t="inlineStr">
        <is>
          <t xml:space="preserve">اتفاقية سرية (NDA)، وحسابات مطورين مخصصة في GitLab، ومراجعة كود داخلية قبل الدمج</t>
        </is>
      </c>
      <c r="J26" s="14">
        <v>3</v>
      </c>
      <c r="K26" s="14" t="inlineStr">
        <is>
          <t xml:space="preserve">للمورد وصول فعلي ومستمر إلى الكود المصدري للتطبيق الأهم لدى البنك، وهجمات سلسلة التوريد على القطاع المالي في تزايد.</t>
        </is>
      </c>
      <c r="L26" s="14">
        <v>4</v>
      </c>
      <c r="M26" s="14" t="inlineStr">
        <is>
          <t xml:space="preserve">تسريب الكود المصدري أو إدخال ثغرة متعمدة يعرّض بيانات 500,000 عميل للخطر بخسائر 5 إلى 25 مليون ريال وغرامات تنظيمية.</t>
        </is>
      </c>
      <c r="N26" s="12">
        <f>IFERROR(RiskAssessment[[#This Row],[الاحتمالية]]*RiskAssessment[[#This Row],[التأثير]],"غير محسوب")</f>
        <v>12</v>
      </c>
      <c r="O26" s="12">
        <f>IF(N26="غير محسوب","غير محسوب",IF(N26&gt;=16,"حرج",IF(N26&gt;=11,"مرتفع",IF(N26&gt;=5,"متوسط","منخفض"))))</f>
        <v>مرتفع</v>
      </c>
      <c r="P26" s="14" t="inlineStr">
        <is>
          <t xml:space="preserve">التخفيف</t>
        </is>
      </c>
      <c r="Q26" s="14" t="inlineStr">
        <is>
          <t xml:space="preserve">1) تحديث العقد ليشمل متطلبات أمن المعلومات وحق التدقيق والإبلاغ عن الحوادث خلال 24 ساعة. 2) تقييم أمني للمورد قبل التجديد ومراجعة سنوية. 3) تقييد وصول المورد على مستودع الكود بأقل الصلاحيات وMFA وتسجيل الجلسات. 4) منع استخدام بيانات حقيقية في بيئة الاختبار وتوفير بيانات اصطناعية.</t>
        </is>
      </c>
      <c r="R26" s="14" t="inlineStr">
        <is>
          <t xml:space="preserve">A.5.19، A.5.20، A.5.21، A.5.22، A.8.30</t>
        </is>
      </c>
      <c r="S26" s="100">
        <v>300000</v>
      </c>
      <c r="T26" s="14" t="inlineStr">
        <is>
          <t xml:space="preserve">مدير إدارة أمن المعلومات</t>
        </is>
      </c>
      <c r="U26" s="14" t="inlineStr">
        <is>
          <t xml:space="preserve">2026-11-30</t>
        </is>
      </c>
      <c r="V26" s="14">
        <v>0.5</v>
      </c>
      <c r="W26" s="14" t="inlineStr">
        <is>
          <t xml:space="preserve">قيد التنفيذ</t>
        </is>
      </c>
      <c r="X26" s="14">
        <v>2</v>
      </c>
      <c r="Y26" s="14" t="inlineStr">
        <is>
          <t xml:space="preserve">المتطلبات التعاقدية والتقييم الأمني وتقييد الوصول تخفض الاحتمالية إلى مستوى نادر.</t>
        </is>
      </c>
      <c r="Z26" s="14">
        <v>4</v>
      </c>
      <c r="AA26" s="14" t="inlineStr">
        <is>
          <t xml:space="preserve">يبقى الأثر كبيراً لاحتمال وصول المورد إلى الكود المصدري الحساس رغم الضوابط.</t>
        </is>
      </c>
      <c r="AB26" s="12">
        <f>IFERROR(RiskAssessment[[#This Row],[الاحتمالية بعد المعالجة]]*RiskAssessment[[#This Row],[التأثير بعد المعالجة]],"غير محسوب")</f>
        <v>8</v>
      </c>
      <c r="AC26" s="12">
        <f>IF(AB26="غير محسوب","غير محسوب",IF(AB26&gt;=16,"حرج",IF(AB26&gt;=11,"مرتفع",IF(AB26&gt;=5,"متوسط","منخفض"))))</f>
        <v>متوسط</v>
      </c>
      <c r="AD26" s="14" t="inlineStr">
        <is>
          <t xml:space="preserve">مرتبط بمخاطر سلسلة التوريد (R-028) وبنتيجة التدقيق (ملاحظة OFI-03) حول اكتمال سجل الموردين.</t>
        </is>
      </c>
    </row>
    <row r="27" spans="2:30" x14ac:dyDescent="0.25">
      <c r="B27" s="14" t="inlineStr">
        <is>
          <t xml:space="preserve">R-014</t>
        </is>
      </c>
      <c r="C27" s="14" t="inlineStr">
        <is>
          <t xml:space="preserve">الموردون والخدمات الخارجية</t>
        </is>
      </c>
      <c r="D27" s="14" t="inlineStr">
        <is>
          <t xml:space="preserve">الخدمة السحابية (AWS) المستضافة عليها الأنظمة غير الحرجة ومنصة Qualys</t>
        </is>
      </c>
      <c r="E27" s="14" t="inlineStr">
        <is>
          <t xml:space="preserve">سوء تكوين موارد السحابة من قبل البنك أو انقطاع خدمة المزود بما يعطل الأنظمة غير الحرجة أو يكشف بيانات محدودة</t>
        </is>
      </c>
      <c r="F27" s="14" t="inlineStr">
        <is>
          <t xml:space="preserve">عدم وجود مراجعة دورية لتكوينات السحابة وفق خط أساس معتمد، واعتماد نموذج المسؤولية المشتركة دون توثيق تفصيلي للمسؤوليات</t>
        </is>
      </c>
      <c r="G27" s="14" t="inlineStr">
        <is>
          <t xml:space="preserve">سرية وتوافر (CA)</t>
        </is>
      </c>
      <c r="H27" s="14" t="inlineStr">
        <is>
          <t xml:space="preserve">مدير إدارة تقنية المعلومات</t>
        </is>
      </c>
      <c r="I27" s="14" t="inlineStr">
        <is>
          <t xml:space="preserve">حساب AWS ضمن تنظيم البنك مع صلاحيات IAM مقيدة، ونسخ احتياطي لبعض الموارد، ومراقبة فواتير واستخدام</t>
        </is>
      </c>
      <c r="J27" s="14">
        <v>2</v>
      </c>
      <c r="K27" s="14" t="inlineStr">
        <is>
          <t xml:space="preserve">لا تُستضاف بيانات عملاء إنتاجية على السحابة، والاستخدام محدود بمنصة الفحص وبيئات تطوير، مع صلاحيات IAM مقيدة.</t>
        </is>
      </c>
      <c r="L27" s="14">
        <v>3</v>
      </c>
      <c r="M27" s="14" t="inlineStr">
        <is>
          <t xml:space="preserve">تعطل أدوات الفحص وبيئات التطوير يؤخر المشاريع والإصدارات بخسائر 1 إلى 5 ملايين ريال وأثر تشغيلي محدود.</t>
        </is>
      </c>
      <c r="N27" s="12">
        <f>IFERROR(RiskAssessment[[#This Row],[الاحتمالية]]*RiskAssessment[[#This Row],[التأثير]],"غير محسوب")</f>
        <v>6</v>
      </c>
      <c r="O27" s="12">
        <f>IF(N27="غير محسوب","غير محسوب",IF(N27&gt;=16,"حرج",IF(N27&gt;=11,"مرتفع",IF(N27&gt;=5,"متوسط","منخفض"))))</f>
        <v>متوسط</v>
      </c>
      <c r="P27" s="14" t="inlineStr">
        <is>
          <t xml:space="preserve">التخفيف</t>
        </is>
      </c>
      <c r="Q27" s="14" t="inlineStr">
        <is>
          <t xml:space="preserve">1) اعتماد خط أساس لتكوينات AWS ومراجعته آلياً شهرياً. 2) توثيق نموذج المسؤولية المشتركة وتوزيع المهام. 3) تفعيل MFA على حساب root وحسابات IAM الإدارية. 4) تفعيل تسجيل CloudTrail ومراجعة السجلات ضمن SOC.</t>
        </is>
      </c>
      <c r="R27" s="14" t="inlineStr">
        <is>
          <t xml:space="preserve">A.5.23، A.8.9، A.5.20، A.8.2</t>
        </is>
      </c>
      <c r="S27" s="100">
        <v>120000</v>
      </c>
      <c r="T27" s="14" t="inlineStr">
        <is>
          <t xml:space="preserve">مدير قسم البنية التحتية والشبكات</t>
        </is>
      </c>
      <c r="U27" s="14" t="inlineStr">
        <is>
          <t xml:space="preserve">2026-12-31</t>
        </is>
      </c>
      <c r="V27" s="14">
        <v>0.3</v>
      </c>
      <c r="W27" s="14" t="inlineStr">
        <is>
          <t xml:space="preserve">قيد التنفيذ</t>
        </is>
      </c>
      <c r="X27" s="14">
        <v>1</v>
      </c>
      <c r="Y27" s="14" t="inlineStr">
        <is>
          <t xml:space="preserve">المراجعة الآلية وخط الأساس يجعلان سوء التكوين غير المكتشف نادر الحدوث جداً.</t>
        </is>
      </c>
      <c r="Z27" s="14">
        <v>3</v>
      </c>
      <c r="AA27" s="14" t="inlineStr">
        <is>
          <t xml:space="preserve">يبقى الأثر متوسطاً لاعتماد أدوات أمنية وتشغيلية على الخدمة.</t>
        </is>
      </c>
      <c r="AB27" s="12">
        <f>IFERROR(RiskAssessment[[#This Row],[الاحتمالية بعد المعالجة]]*RiskAssessment[[#This Row],[التأثير بعد المعالجة]],"غير محسوب")</f>
        <v>3</v>
      </c>
      <c r="AC27" s="12">
        <f>IF(AB27="غير محسوب","غير محسوب",IF(AB27&gt;=16,"حرج",IF(AB27&gt;=11,"مرتفع",IF(AB27&gt;=5,"متوسط","منخفض"))))</f>
        <v>منخفض</v>
      </c>
      <c r="AD27" s="14" t="inlineStr">
        <is>
          <t xml:space="preserve">خارج النطاق الإنتاجي الحرج؛ يظل مشمولاً في ISMS ضمن مسؤولية أمن مشتركة موثقة.</t>
        </is>
      </c>
    </row>
    <row r="28" spans="2:30" x14ac:dyDescent="0.25">
      <c r="B28" s="14" t="inlineStr">
        <is>
          <t xml:space="preserve">R-015</t>
        </is>
      </c>
      <c r="C28" s="14" t="inlineStr">
        <is>
          <t xml:space="preserve">البيانات التقنية والأمنية</t>
        </is>
      </c>
      <c r="D28" s="14" t="inlineStr">
        <is>
          <t xml:space="preserve">بيئات التطوير والاختبار ومستودع البيانات والكود المصدري</t>
        </is>
      </c>
      <c r="E28" s="14" t="inlineStr">
        <is>
          <t xml:space="preserve">تسريب بيانات عملاء حقيقية مستخدمة في بيئات الاختبار أو التطوير أو انكشافها على مطورين غير مخولين</t>
        </is>
      </c>
      <c r="F28" s="14" t="inlineStr">
        <is>
          <t xml:space="preserve">استخدام بيانات حقيقية في بيئة الاختبار، وعدم كفاية فصل بيئات التطوير والاختبار والإنتاج، وغياب آلية إخفاء البيانات (فجوة G-04)</t>
        </is>
      </c>
      <c r="G28" s="14" t="inlineStr">
        <is>
          <t xml:space="preserve">سرية (C)</t>
        </is>
      </c>
      <c r="H28" s="14" t="inlineStr">
        <is>
          <t xml:space="preserve">رئيس قسم تطوير البرمجيات</t>
        </is>
      </c>
      <c r="I28" s="14" t="inlineStr">
        <is>
          <t xml:space="preserve">فصل منطقي جزئي للبيئات على VMware، وصلاحيات مقيدة على مستودع الكود، واتفاقيات سرية مع المطورين</t>
        </is>
      </c>
      <c r="J28" s="14">
        <v>4</v>
      </c>
      <c r="K28" s="14" t="inlineStr">
        <is>
          <t xml:space="preserve">الممارسة قائمة فعلياً في بيئات الاختبار حالياً، وعدد المطورين 25 إضافة إلى مطوري المورد الخارجي، مما يوسع دائرة الوصول.</t>
        </is>
      </c>
      <c r="L28" s="14">
        <v>3</v>
      </c>
      <c r="M28" s="14" t="inlineStr">
        <is>
          <t xml:space="preserve">انكشاف بيانات شخصية ومصرفية لعملاء في بيئة أقل حماية يوجب إبلاغ سدايا بخسائر 1 إلى 5 ملايين ريال وأثر سمعة.</t>
        </is>
      </c>
      <c r="N28" s="12">
        <f>IFERROR(RiskAssessment[[#This Row],[الاحتمالية]]*RiskAssessment[[#This Row],[التأثير]],"غير محسوب")</f>
        <v>12</v>
      </c>
      <c r="O28" s="12">
        <f>IF(N28="غير محسوب","غير محسوب",IF(N28&gt;=16,"حرج",IF(N28&gt;=11,"مرتفع",IF(N28&gt;=5,"متوسط","منخفض"))))</f>
        <v>مرتفع</v>
      </c>
      <c r="P28" s="14" t="inlineStr">
        <is>
          <t xml:space="preserve">التجنب</t>
        </is>
      </c>
      <c r="Q28" s="14" t="inlineStr">
        <is>
          <t xml:space="preserve">التخلص من مصدر الخطر بمنع استخدام أي بيانات عملاء حقيقية في بيئات التطوير والاختبار نهائياً، وذلك عبر: 1) إنشاء مجموعة بيانات اختبار اصطناعية (Synthetic) لجميع بيئات الاختبار. 2) تطبيق إخفاء البيانات (Data Masking) على أي نسخة من مستودع البيانات. 3) فصل شبكي كامل بين بيئات التطوير والاختبار والإنتاج ومنع نسخ البيانات بينها. 4) حظر تقني لنقل بيانات الإنتاج إلى البيئات الأدنى.</t>
        </is>
      </c>
      <c r="R28" s="14" t="inlineStr">
        <is>
          <t xml:space="preserve">A.8.33، A.8.31، A.8.11، A.8.22</t>
        </is>
      </c>
      <c r="S28" s="100">
        <v>380000</v>
      </c>
      <c r="T28" s="14" t="inlineStr">
        <is>
          <t xml:space="preserve">رئيس قسم تطوير البرمجيات</t>
        </is>
      </c>
      <c r="U28" s="14" t="inlineStr">
        <is>
          <t xml:space="preserve">2026-12-31</t>
        </is>
      </c>
      <c r="V28" s="14">
        <v>0.35</v>
      </c>
      <c r="W28" s="14" t="inlineStr">
        <is>
          <t xml:space="preserve">قيد التنفيذ</t>
        </is>
      </c>
      <c r="X28" s="14">
        <v>2</v>
      </c>
      <c r="Y28" s="14" t="inlineStr">
        <is>
          <t xml:space="preserve">البيانات الاصطناعية والفصل الشبكي يخفضان الاحتمالية إلى مستوى نادر.</t>
        </is>
      </c>
      <c r="Z28" s="14">
        <v>2</v>
      </c>
      <c r="AA28" s="14" t="inlineStr">
        <is>
          <t xml:space="preserve">يتحول الأثر إلى انكشاف بيانات مجهولة أو اصطناعية منخفضة الحساسية.</t>
        </is>
      </c>
      <c r="AB28" s="12">
        <f>IFERROR(RiskAssessment[[#This Row],[الاحتمالية بعد المعالجة]]*RiskAssessment[[#This Row],[التأثير بعد المعالجة]],"غير محسوب")</f>
        <v>4</v>
      </c>
      <c r="AC28" s="12">
        <f>IF(AB28="غير محسوب","غير محسوب",IF(AB28&gt;=16,"حرج",IF(AB28&gt;=11,"مرتفع",IF(AB28&gt;=5,"متوسط","منخفض"))))</f>
        <v>منخفض</v>
      </c>
      <c r="AD28" s="14" t="inlineStr">
        <is>
          <t xml:space="preserve">مرتبط بالفجوة G-04 والضوابط A.8.11 وA.8.31 وA.8.33 وحالة عدم المطابقة NC-03 في التدقيق الداخلي.</t>
        </is>
      </c>
    </row>
    <row r="29" spans="2:30" x14ac:dyDescent="0.25">
      <c r="B29" s="14" t="inlineStr">
        <is>
          <t xml:space="preserve">R-016</t>
        </is>
      </c>
      <c r="C29" s="14" t="inlineStr">
        <is>
          <t xml:space="preserve">البيانات التقنية والأمنية</t>
        </is>
      </c>
      <c r="D29" s="14" t="inlineStr">
        <is>
          <t xml:space="preserve">الحسابات الإدارية وقواعد بيانات العملاء والمعاملات</t>
        </is>
      </c>
      <c r="E29" s="14" t="inlineStr">
        <is>
          <t xml:space="preserve">تهديد داخلي: إساءة استخدام موظف حالي أو سابق لصلاحياته لسرقة أو تعديل بيانات العملاء أو المعاملات المالية</t>
        </is>
      </c>
      <c r="F29" s="14" t="inlineStr">
        <is>
          <t xml:space="preserve">صلاحيات إدارية واسعة غير مقيدة بمبدأ الحد الأدنى، ومشاركة كلمات المرور، وغياب مراقبة سلوكية للمستخدمين المميّزين</t>
        </is>
      </c>
      <c r="G29" s="14" t="inlineStr">
        <is>
          <t xml:space="preserve">سرية وسلامة (CI)</t>
        </is>
      </c>
      <c r="H29" s="14" t="inlineStr">
        <is>
          <t xml:space="preserve">مدير إدارة أمن المعلومات</t>
        </is>
      </c>
      <c r="I29" s="14" t="inlineStr">
        <is>
          <t xml:space="preserve">اتفاقيات سرية، وفحص أمني قبل التوظيف لبعض الوظائف، وسجلات دخول، وإجراءات تأديبية معتمدة</t>
        </is>
      </c>
      <c r="J29" s="14">
        <v>3</v>
      </c>
      <c r="K29" s="14" t="inlineStr">
        <is>
          <t xml:space="preserve">عدد الموظفين 2,500 مع دوران 12% في تقنية المعلومات، والصلاحيات الإدارية واسعة حالياً؛ لا توجد سوابق مؤكدة لكن الحوافز قائمة في القطاع.</t>
        </is>
      </c>
      <c r="L29" s="14">
        <v>4</v>
      </c>
      <c r="M29" s="14" t="inlineStr">
        <is>
          <t xml:space="preserve">سرقة أو تعديل بيانات عملاء ومعاملات بخسائر 5 إلى 25 مليون ريال، وغرامات، وأثر سمعة جسيم على بنك رقمي.</t>
        </is>
      </c>
      <c r="N29" s="12">
        <f>IFERROR(RiskAssessment[[#This Row],[الاحتمالية]]*RiskAssessment[[#This Row],[التأثير]],"غير محسوب")</f>
        <v>12</v>
      </c>
      <c r="O29" s="12">
        <f>IF(N29="غير محسوب","غير محسوب",IF(N29&gt;=16,"حرج",IF(N29&gt;=11,"مرتفع",IF(N29&gt;=5,"متوسط","منخفض"))))</f>
        <v>مرتفع</v>
      </c>
      <c r="P29" s="14" t="inlineStr">
        <is>
          <t xml:space="preserve">التخفيف</t>
        </is>
      </c>
      <c r="Q29" s="14" t="inlineStr">
        <is>
          <t xml:space="preserve">1) تطبيق مبدأ الحد الأدنى من الصلاحيات ومراجعة ربع سنوية. 2) تشغيل PAM مع تسجيل جلسات الوصول المميّز. 3) تنبيهات على الاستعلامات غير الاعتيادية على قواعد بيانات العملاء (مثل استخراج دفعات كبيرة). 4) تفعيل إجراء إنهاء الخدمة وسحب الصلاحيات خلال 4 ساعات.</t>
        </is>
      </c>
      <c r="R29" s="14" t="inlineStr">
        <is>
          <t xml:space="preserve">A.5.3، A.5.18، A.8.2، A.6.5، A.8.16</t>
        </is>
      </c>
      <c r="S29" s="100">
        <v>260000</v>
      </c>
      <c r="T29" s="14" t="inlineStr">
        <is>
          <t xml:space="preserve">مدير إدارة أمن المعلومات</t>
        </is>
      </c>
      <c r="U29" s="14" t="inlineStr">
        <is>
          <t xml:space="preserve">2027-01-31</t>
        </is>
      </c>
      <c r="V29" s="14">
        <v>0.4</v>
      </c>
      <c r="W29" s="14" t="inlineStr">
        <is>
          <t xml:space="preserve">قيد التنفيذ</t>
        </is>
      </c>
      <c r="X29" s="14">
        <v>2</v>
      </c>
      <c r="Y29" s="14" t="inlineStr">
        <is>
          <t xml:space="preserve">تسجيل الجلسات والتنبيهات السلوكية تجعل إساءة الاستخدام دون اكتشاف أمراً نادراً.</t>
        </is>
      </c>
      <c r="Z29" s="14">
        <v>4</v>
      </c>
      <c r="AA29" s="14" t="inlineStr">
        <is>
          <t xml:space="preserve">يبقى الأثر كبيراً لطبيعة البيانات المتاحة للموظفين المميّزين.</t>
        </is>
      </c>
      <c r="AB29" s="12">
        <f>IFERROR(RiskAssessment[[#This Row],[الاحتمالية بعد المعالجة]]*RiskAssessment[[#This Row],[التأثير بعد المعالجة]],"غير محسوب")</f>
        <v>8</v>
      </c>
      <c r="AC29" s="12">
        <f>IF(AB29="غير محسوب","غير محسوب",IF(AB29&gt;=16,"حرج",IF(AB29&gt;=11,"مرتفع",IF(AB29&gt;=5,"متوسط","منخفض"))))</f>
        <v>متوسط</v>
      </c>
      <c r="AD29" s="14" t="inlineStr">
        <is>
          <t xml:space="preserve">مرتبط بـR-005 وR-006؛ يشمل ضوابط الموارد البشرية A.6.1 وA.6.5 وA.6.6.</t>
        </is>
      </c>
    </row>
    <row r="30" spans="2:30" x14ac:dyDescent="0.25">
      <c r="B30" s="14" t="inlineStr">
        <is>
          <t xml:space="preserve">R-017</t>
        </is>
      </c>
      <c r="C30" s="14" t="inlineStr">
        <is>
          <t xml:space="preserve">أنظمة دعم الأعمال</t>
        </is>
      </c>
      <c r="D30" s="14" t="inlineStr">
        <is>
          <t xml:space="preserve">نظام الرواتب القديم (سيبيرولا - Legacy) وقاعدة بيانات الموارد البشرية</t>
        </is>
      </c>
      <c r="E30" s="14" t="inlineStr">
        <is>
          <t xml:space="preserve">تعطل نظام الرواتب القديم أو استغلال ثغراته بسبب انتهاء دعم المورد وعدم توافقه مع معايير التشفير الحديثة</t>
        </is>
      </c>
      <c r="F30" s="14" t="inlineStr">
        <is>
          <t xml:space="preserve">نظام موروث لا يتلقى تحديثات أمنية منتظمة، وتكامله مع أنظمة حديثة عبر واجهات غير موثقة، وخطة الاستبدال تمتد لسنتين</t>
        </is>
      </c>
      <c r="G30" s="14" t="inlineStr">
        <is>
          <t xml:space="preserve">سلامة وتوافر (IA)</t>
        </is>
      </c>
      <c r="H30" s="14" t="inlineStr">
        <is>
          <t xml:space="preserve">مدير إدارة الموارد البشرية</t>
        </is>
      </c>
      <c r="I30" s="14" t="inlineStr">
        <is>
          <t xml:space="preserve">عزل النظام في شبكة فرعية منفصلة، ونسخ احتياطي يومي، ووصول مقيد لفريق الرواتب</t>
        </is>
      </c>
      <c r="J30" s="14">
        <v>3</v>
      </c>
      <c r="K30" s="14" t="inlineStr">
        <is>
          <t xml:space="preserve">النظام قديم وغير مدعوم بالكامل، ويعالج رواتب 2,500 موظف شهرياً، والاستبدال لن يكتمل قبل 2028.</t>
        </is>
      </c>
      <c r="L30" s="14">
        <v>4</v>
      </c>
      <c r="M30" s="14" t="inlineStr">
        <is>
          <t xml:space="preserve">تعطل صرف الرواتب في موعده يمس التزامات البنك النظامية تجاه موظفيه بخسائر 5 إلى 25 مليون ريال وأثر سمعة داخلي وخارجي.</t>
        </is>
      </c>
      <c r="N30" s="12">
        <f>IFERROR(RiskAssessment[[#This Row],[الاحتمالية]]*RiskAssessment[[#This Row],[التأثير]],"غير محسوب")</f>
        <v>12</v>
      </c>
      <c r="O30" s="12">
        <f>IF(N30="غير محسوب","غير محسوب",IF(N30&gt;=16,"حرج",IF(N30&gt;=11,"مرتفع",IF(N30&gt;=5,"متوسط","منخفض"))))</f>
        <v>مرتفع</v>
      </c>
      <c r="P30" s="14" t="inlineStr">
        <is>
          <t xml:space="preserve">التخفيف</t>
        </is>
      </c>
      <c r="Q30" s="14" t="inlineStr">
        <is>
          <t xml:space="preserve">1) تسريع مشروع استبدال النظام مع مرحلة انتقالية مزدوجة. 2) دعم ممتد من المورد بعقد صيانة أمنية حتى الاستبدال. 3) عزل إضافي للنظام ومراقبة حركة الاتصالات الصادرة منه. 4) إجراء تحويل رواتب بديل يدوي موثق ضمن BCP.</t>
        </is>
      </c>
      <c r="R30" s="14" t="inlineStr">
        <is>
          <t xml:space="preserve">A.5.37، A.8.8، A.5.29، A.8.20</t>
        </is>
      </c>
      <c r="S30" s="100">
        <v>1800000</v>
      </c>
      <c r="T30" s="14" t="inlineStr">
        <is>
          <t xml:space="preserve">مدير إدارة الموارد البشرية</t>
        </is>
      </c>
      <c r="U30" s="14" t="inlineStr">
        <is>
          <t xml:space="preserve">2027-06-30</t>
        </is>
      </c>
      <c r="V30" s="14">
        <v>0.15</v>
      </c>
      <c r="W30" s="14" t="inlineStr">
        <is>
          <t xml:space="preserve">قيد التنفيذ</t>
        </is>
      </c>
      <c r="X30" s="14">
        <v>3</v>
      </c>
      <c r="Y30" s="14" t="inlineStr">
        <is>
          <t xml:space="preserve">يبقى النظام قيد التشغيل حتى الاستبدال مع ضوابط تعويضية محدودة الفعالية.</t>
        </is>
      </c>
      <c r="Z30" s="14">
        <v>4</v>
      </c>
      <c r="AA30" s="14" t="inlineStr">
        <is>
          <t xml:space="preserve">أثر تعطل صرف الرواتب كبير ولا يمكن تخفيضه قبل اكتمال الاستبدال.</t>
        </is>
      </c>
      <c r="AB30" s="12">
        <f>IFERROR(RiskAssessment[[#This Row],[الاحتمالية بعد المعالجة]]*RiskAssessment[[#This Row],[التأثير بعد المعالجة]],"غير محسوب")</f>
        <v>12</v>
      </c>
      <c r="AC30" s="12">
        <f>IF(AB30="غير محسوب","غير محسوب",IF(AB30&gt;=16,"حرج",IF(AB30&gt;=11,"مرتفع",IF(AB30&gt;=5,"متوسط","منخفض"))))</f>
        <v>مرتفع</v>
      </c>
      <c r="AD30" s="14" t="inlineStr">
        <is>
          <t xml:space="preserve">خطر متبقٍ مرتفع (12) مقبول من لجنة المخاطر حتى 2027-06-30 مع مراجعة نصف سنوية؛ أحد مبررات عدم اكتمال الضابط A.8.8.</t>
        </is>
      </c>
    </row>
    <row r="31" spans="2:30" x14ac:dyDescent="0.25">
      <c r="B31" s="14" t="inlineStr">
        <is>
          <t xml:space="preserve">R-018</t>
        </is>
      </c>
      <c r="C31" s="14" t="inlineStr">
        <is>
          <t xml:space="preserve">البيانات التنظيمية والحوكمة</t>
        </is>
      </c>
      <c r="D31" s="14" t="inlineStr">
        <is>
          <t xml:space="preserve">الوثائق التنظيمية ومراسلات الجهات الرقابية وخطط استمرارية الأعمال</t>
        </is>
      </c>
      <c r="E31" s="14" t="inlineStr">
        <is>
          <t xml:space="preserve">عدم الامتثال لمتطلبات البنك المركزي السعودي (ساما) والهيئة الوطنية للأمن السيبراني والإبلاغ عن الحوادث في الوقت النظامي</t>
        </is>
      </c>
      <c r="F31" s="14" t="inlineStr">
        <is>
          <t xml:space="preserve">عدم وجود سجل موحد ومحدَّث للمتطلبات القانونية والتنظيمية والتعاقدية، وتأخر ربط متطلبات ساما بالضوابط المنفذة (فجوة G-01 سابقاً)</t>
        </is>
      </c>
      <c r="G31" s="14" t="inlineStr">
        <is>
          <t xml:space="preserve">سلامة (I)</t>
        </is>
      </c>
      <c r="H31" s="14" t="inlineStr">
        <is>
          <t xml:space="preserve">مدير إدارة الالتزام والحوكمة</t>
        </is>
      </c>
      <c r="I31" s="14" t="inlineStr">
        <is>
          <t xml:space="preserve">متابعة من إدارة الالتزام، وتعيين مسؤول اتصال مع ساما، وتقارير امتثال دورية</t>
        </is>
      </c>
      <c r="J31" s="14">
        <v>2</v>
      </c>
      <c r="K31" s="14" t="inlineStr">
        <is>
          <t xml:space="preserve">البنك ملتزم تاريخياً بمتطلبات ساما، وأُنشئ الآن سجل موحد للمتطلبات ضمن ISMS؛ يبقى احتمال تأخر الإبلاغ عن حادث كبير قائماً.</t>
        </is>
      </c>
      <c r="L31" s="14">
        <v>5</v>
      </c>
      <c r="M31" s="14" t="inlineStr">
        <is>
          <t xml:space="preserve">عقوبات مالية مشددة من ساما قد تتضمن إيقاف نشاط أو غرامات تتجاوز 25 مليون ريال وأثر سمعة حاد على بنك رقمي.</t>
        </is>
      </c>
      <c r="N31" s="12">
        <f>IFERROR(RiskAssessment[[#This Row],[الاحتمالية]]*RiskAssessment[[#This Row],[التأثير]],"غير محسوب")</f>
        <v>10</v>
      </c>
      <c r="O31" s="12">
        <f>IF(N31="غير محسوب","غير محسوب",IF(N31&gt;=16,"حرج",IF(N31&gt;=11,"مرتفع",IF(N31&gt;=5,"متوسط","منخفض"))))</f>
        <v>متوسط</v>
      </c>
      <c r="P31" s="14" t="inlineStr">
        <is>
          <t xml:space="preserve">التخفيف</t>
        </is>
      </c>
      <c r="Q31" s="14" t="inlineStr">
        <is>
          <t xml:space="preserve">1) إنشاء سجل موحد للمتطلبات القانونية والتنظيمية والتعاقدية مع مراجعة نصف سنوية. 2) إجراء إلزامي للإبلاغ عن الحوادث لساما خلال المدة النظامية مع قائمة اتصال جاهزة. 3) مصفوفة ربط متطلبات ساما بضوابط ISO 27001 والملحق A. 4) تدريب فريق الاستجابة على متطلبات الإبلاغ.</t>
        </is>
      </c>
      <c r="R31" s="14" t="inlineStr">
        <is>
          <t xml:space="preserve">A.5.31، A.5.5، A.5.36، A.5.24</t>
        </is>
      </c>
      <c r="S31" s="100">
        <v>150000</v>
      </c>
      <c r="T31" s="14" t="inlineStr">
        <is>
          <t xml:space="preserve">مدير إدارة الالتزام والحوكمة</t>
        </is>
      </c>
      <c r="U31" s="14" t="inlineStr">
        <is>
          <t xml:space="preserve">2026-10-31</t>
        </is>
      </c>
      <c r="V31" s="14">
        <v>0.8</v>
      </c>
      <c r="W31" s="14" t="inlineStr">
        <is>
          <t xml:space="preserve">قيد التنفيذ</t>
        </is>
      </c>
      <c r="X31" s="14">
        <v>1</v>
      </c>
      <c r="Y31" s="14" t="inlineStr">
        <is>
          <t xml:space="preserve">السجل الموحد والإجراء المعتمد وقائمة الاتصال تجعل التأخر في الإبلاغ نادر الحدوث جداً.</t>
        </is>
      </c>
      <c r="Z31" s="14">
        <v>4</v>
      </c>
      <c r="AA31" s="14" t="inlineStr">
        <is>
          <t xml:space="preserve">يبقى أثر أي ملاحظة رقابية جوهرية كبيراً لطبيعة القطاع المصرفي.</t>
        </is>
      </c>
      <c r="AB31" s="12">
        <f>IFERROR(RiskAssessment[[#This Row],[الاحتمالية بعد المعالجة]]*RiskAssessment[[#This Row],[التأثير بعد المعالجة]],"غير محسوب")</f>
        <v>4</v>
      </c>
      <c r="AC31" s="12">
        <f>IF(AB31="غير محسوب","غير محسوب",IF(AB31&gt;=16,"حرج",IF(AB31&gt;=11,"مرتفع",IF(AB31&gt;=5,"متوسط","منخفض"))))</f>
        <v>منخفض</v>
      </c>
      <c r="AD31" s="14" t="inlineStr">
        <is>
          <t xml:space="preserve">مرتبط بمتطلبات ساما في القسم 5.2 من دراسة الحالة وبالضابط A.5.36.</t>
        </is>
      </c>
    </row>
    <row r="32" spans="2:30" x14ac:dyDescent="0.25">
      <c r="B32" s="14" t="inlineStr">
        <is>
          <t xml:space="preserve">R-019</t>
        </is>
      </c>
      <c r="C32" s="14" t="inlineStr">
        <is>
          <t xml:space="preserve">بيانات العملاء</t>
        </is>
      </c>
      <c r="D32" s="14" t="inlineStr">
        <is>
          <t xml:space="preserve">قواعد بيانات العملاء والبيانات البيومترية وسجلات التواصل وبيانات الموظفين</t>
        </is>
      </c>
      <c r="E32" s="14" t="inlineStr">
        <is>
          <t xml:space="preserve">خرق لنظام حماية البيانات الشخصية نتيجة معالجة أو نقل أو حفظ غير نظامي للبيانات الشخصية أو عدم الاستجابة لطلبات أصحاب البيانات</t>
        </is>
      </c>
      <c r="F32" s="14" t="inlineStr">
        <is>
          <t xml:space="preserve">عدم وجود آلية مؤتمتة لاستقبال ومعالجة طلبات أصحاب البيانات (الوصول، التصحيح، الحذف)، وتعدد أماكن تخزين البيانات الشخصية دون سجل معالجة موحد</t>
        </is>
      </c>
      <c r="G32" s="14" t="inlineStr">
        <is>
          <t xml:space="preserve">سرية (C)</t>
        </is>
      </c>
      <c r="H32" s="14" t="inlineStr">
        <is>
          <t xml:space="preserve">مدير إدارة الشؤون القانونية</t>
        </is>
      </c>
      <c r="I32" s="14" t="inlineStr">
        <is>
          <t xml:space="preserve">سياسة خصوصية معلنة، ونموذج طلب يدوي لدى خدمة العملاء، واتفاقيات معالجة مع الموردين</t>
        </is>
      </c>
      <c r="J32" s="14">
        <v>3</v>
      </c>
      <c r="K32" s="14" t="inlineStr">
        <is>
          <t xml:space="preserve">حجم البيانات الشخصية ضخم (500,000 عميل + 2,500 موظف + متقاعدون)، والآلية الحالية يدوية وبطيئة مما يرفع خطر تجاوز المدد النظامية.</t>
        </is>
      </c>
      <c r="L32" s="14">
        <v>5</v>
      </c>
      <c r="M32" s="14" t="inlineStr">
        <is>
          <t xml:space="preserve">غرامات مشددة من سدايا وأوامر بإيقاف معالجة، وخسائر تتجاوز 25 مليون ريال، وأزمة ثقة لدى العملاء.</t>
        </is>
      </c>
      <c r="N32" s="12">
        <f>IFERROR(RiskAssessment[[#This Row],[الاحتمالية]]*RiskAssessment[[#This Row],[التأثير]],"غير محسوب")</f>
        <v>15</v>
      </c>
      <c r="O32" s="12">
        <f>IF(N32="غير محسوب","غير محسوب",IF(N32&gt;=16,"حرج",IF(N32&gt;=11,"مرتفع",IF(N32&gt;=5,"متوسط","منخفض"))))</f>
        <v>مرتفع</v>
      </c>
      <c r="P32" s="14" t="inlineStr">
        <is>
          <t xml:space="preserve">التخفيف</t>
        </is>
      </c>
      <c r="Q32" s="14" t="inlineStr">
        <is>
          <t xml:space="preserve">1) إنشاء سجل أنشطة المعالجة (RoPA) لجميع مجموعات البيانات الشخصية. 2) أتمتة قناة استقبال طلبات أصحاب البيانات والرد ضمن 30 يوماً. 3) تعيين مسؤول حماية البيانات الشخصية (DPO) وتحديد مسؤولياته. 4) مراجعة عقود الموردين لتتضمن بنود حماية البيانات الشخصية.</t>
        </is>
      </c>
      <c r="R32" s="14" t="inlineStr">
        <is>
          <t xml:space="preserve">A.5.34، A.5.31، A.5.33، A.5.20</t>
        </is>
      </c>
      <c r="S32" s="100">
        <v>280000</v>
      </c>
      <c r="T32" s="14" t="inlineStr">
        <is>
          <t xml:space="preserve">مدير إدارة الشؤون القانونية</t>
        </is>
      </c>
      <c r="U32" s="14" t="inlineStr">
        <is>
          <t xml:space="preserve">2026-12-31</t>
        </is>
      </c>
      <c r="V32" s="14">
        <v>0.55</v>
      </c>
      <c r="W32" s="14" t="inlineStr">
        <is>
          <t xml:space="preserve">قيد التنفيذ</t>
        </is>
      </c>
      <c r="X32" s="14">
        <v>2</v>
      </c>
      <c r="Y32" s="14" t="inlineStr">
        <is>
          <t xml:space="preserve">سجل المعالجة والأتمتة وتعيين مسؤول حماية البيانات تخفض الاحتمالية إلى مستوى نادر.</t>
        </is>
      </c>
      <c r="Z32" s="14">
        <v>4</v>
      </c>
      <c r="AA32" s="14" t="inlineStr">
        <is>
          <t xml:space="preserve">يبقى الأثر كبيراً نظراً لحجم البيانات الشخصية وحساسية القطاع.</t>
        </is>
      </c>
      <c r="AB32" s="12">
        <f>IFERROR(RiskAssessment[[#This Row],[الاحتمالية بعد المعالجة]]*RiskAssessment[[#This Row],[التأثير بعد المعالجة]],"غير محسوب")</f>
        <v>8</v>
      </c>
      <c r="AC32" s="12">
        <f>IF(AB32="غير محسوب","غير محسوب",IF(AB32&gt;=16,"حرج",IF(AB32&gt;=11,"مرتفع",IF(AB32&gt;=5,"متوسط","منخفض"))))</f>
        <v>متوسط</v>
      </c>
      <c r="AD32" s="14" t="inlineStr">
        <is>
          <t xml:space="preserve">مرتبط بالحادثة INC-2025-011 وبمتطلبات سدايا؛ يُقاس بمؤشر: نسبة الرد على الطلبات ضمن المدة النظامية.</t>
        </is>
      </c>
    </row>
    <row r="33" spans="2:30" x14ac:dyDescent="0.25">
      <c r="B33" s="14" t="inlineStr">
        <is>
          <t xml:space="preserve">R-020</t>
        </is>
      </c>
      <c r="C33" s="14" t="inlineStr">
        <is>
          <t xml:space="preserve">البنية التحتية والأجهزة</t>
        </is>
      </c>
      <c r="D33" s="14" t="inlineStr">
        <is>
          <t xml:space="preserve">أجهزة الصراف الآلي (150 جهازاً) وأجهزة الإيداع ونظام إدارة البطاقات</t>
        </is>
      </c>
      <c r="E33" s="14" t="inlineStr">
        <is>
          <t xml:space="preserve">عبث مادي أو برمجي بأجهزة الصراف الآلي (تثبيت أجهزة نسخ بطاقات Skimming أو برمجيات خبيثة) لسرقة بيانات البطاقات والأرقام السرية</t>
        </is>
      </c>
      <c r="F33" s="14" t="inlineStr">
        <is>
          <t xml:space="preserve">انتشار الأجهزة في 75 موقعاً مستقلاً غير خاضع لحراسة دائمة، وصيانتها عبر مورد خارجي دون إشراف مستمر، وتحديثات برمجية غير منتظمة</t>
        </is>
      </c>
      <c r="G33" s="14" t="inlineStr">
        <is>
          <t xml:space="preserve">سرية وسلامة (CI)</t>
        </is>
      </c>
      <c r="H33" s="14" t="inlineStr">
        <is>
          <t xml:space="preserve">مدير إدارة العمليات المصرفية</t>
        </is>
      </c>
      <c r="I33" s="14" t="inlineStr">
        <is>
          <t xml:space="preserve">أقفال مادية وكاميرات مراقبة في الفروع، وتفتيش دوري من فرق الفروع، ومكافحة برمجيات خبيثة على الأجهزة، ونظام كشف الاحتيال</t>
        </is>
      </c>
      <c r="J33" s="14">
        <v>2</v>
      </c>
      <c r="K33" s="14" t="inlineStr">
        <is>
          <t xml:space="preserve">توجد ضوابط مادية ومراقبة احتيالية، ولم تُسجل حوادث skimming جوهرية؛ يبقى احتمال الاستهداف قائماً في المواقع المستقلة.</t>
        </is>
      </c>
      <c r="L33" s="14">
        <v>4</v>
      </c>
      <c r="M33" s="14" t="inlineStr">
        <is>
          <t xml:space="preserve">سرقة بيانات بطاقات يترتب عليه التزامات PCI DSS وتعويضات عملاء بخسائر 5 إلى 25 مليون ريال وأثر سمعة كبير.</t>
        </is>
      </c>
      <c r="N33" s="12">
        <f>IFERROR(RiskAssessment[[#This Row],[الاحتمالية]]*RiskAssessment[[#This Row],[التأثير]],"غير محسوب")</f>
        <v>8</v>
      </c>
      <c r="O33" s="12">
        <f>IF(N33="غير محسوب","غير محسوب",IF(N33&gt;=16,"حرج",IF(N33&gt;=11,"مرتفع",IF(N33&gt;=5,"متوسط","منخفض"))))</f>
        <v>متوسط</v>
      </c>
      <c r="P33" s="14" t="inlineStr">
        <is>
          <t xml:space="preserve">التخفيف</t>
        </is>
      </c>
      <c r="Q33" s="14" t="inlineStr">
        <is>
          <t xml:space="preserve">1) تفتيش مادي أسبوعي موثق لجميع الأجهزة المستقلة مع قائمة تحقق مضادة للعبث. 2) إلزام مورد الصيانة بمرافقة موظف من البنك عند أي تدخل وتسجيله. 3) تفعيل تحديثات برمجية شهرية للأجهزة ومراقبة سلامة النظام. 4) تشفير بيانات البطاقات من الطرف للطرف (E2EE) وتقنية EMV.</t>
        </is>
      </c>
      <c r="R33" s="14" t="inlineStr">
        <is>
          <t xml:space="preserve">A.7.4، A.7.8، A.7.9، A.5.20، A.8.24</t>
        </is>
      </c>
      <c r="S33" s="100">
        <v>420000</v>
      </c>
      <c r="T33" s="14" t="inlineStr">
        <is>
          <t xml:space="preserve">مدير إدارة العمليات المصرفية</t>
        </is>
      </c>
      <c r="U33" s="14" t="inlineStr">
        <is>
          <t xml:space="preserve">2026-12-31</t>
        </is>
      </c>
      <c r="V33" s="14">
        <v>0.3</v>
      </c>
      <c r="W33" s="14" t="inlineStr">
        <is>
          <t xml:space="preserve">قيد التنفيذ</t>
        </is>
      </c>
      <c r="X33" s="14">
        <v>1</v>
      </c>
      <c r="Y33" s="14" t="inlineStr">
        <is>
          <t xml:space="preserve">التفتيش الأسبوعي الموثق والمرافقة الإلزامية تجعل نجاح العبث نادر الحدوث جداً.</t>
        </is>
      </c>
      <c r="Z33" s="14">
        <v>4</v>
      </c>
      <c r="AA33" s="14" t="inlineStr">
        <is>
          <t xml:space="preserve">يبقى أثر أي نجاح في نسخ بيانات البطاقات كبيراً لالتزامات المعايير الدولية.</t>
        </is>
      </c>
      <c r="AB33" s="12">
        <f>IFERROR(RiskAssessment[[#This Row],[الاحتمالية بعد المعالجة]]*RiskAssessment[[#This Row],[التأثير بعد المعالجة]],"غير محسوب")</f>
        <v>4</v>
      </c>
      <c r="AC33" s="12">
        <f>IF(AB33="غير محسوب","غير محسوب",IF(AB33&gt;=16,"حرج",IF(AB33&gt;=11,"مرتفع",IF(AB33&gt;=5,"متوسط","منخفض"))))</f>
        <v>منخفض</v>
      </c>
      <c r="AD33" s="14" t="inlineStr">
        <is>
          <t xml:space="preserve">مرتبط بمتطلبات PCI DSS التعاقدية وبمخاطر الموردين R-013.</t>
        </is>
      </c>
    </row>
    <row r="34" spans="2:41" x14ac:dyDescent="0.25">
      <c r="B34" s="14" t="inlineStr">
        <is>
          <t xml:space="preserve">R-021</t>
        </is>
      </c>
      <c r="C34" s="14" t="inlineStr">
        <is>
          <t xml:space="preserve">الموردون والخدمات الخارجية</t>
        </is>
      </c>
      <c r="D34" s="14" t="inlineStr">
        <is>
          <t xml:space="preserve">روابط الاتصال وخدمات الاتصالات وأجهزة الشبكة</t>
        </is>
      </c>
      <c r="E34" s="14" t="inlineStr">
        <is>
          <t xml:space="preserve">انقطاع خدمات الاتصالات أو الإنترنت من المزود الرئيسي (STC) بما يعطل الفروع والقنوات الرقمية والاتصال بشبكة المدفوعات</t>
        </is>
      </c>
      <c r="F34" s="14" t="inlineStr">
        <is>
          <t xml:space="preserve">الاعتماد على مزود رئيسي واحد للإنترنت في معظم المواقع، وعدم اختبار خطوط الاتصال الاحتياطية دورياً</t>
        </is>
      </c>
      <c r="G34" s="14" t="inlineStr">
        <is>
          <t xml:space="preserve">توافر (A)</t>
        </is>
      </c>
      <c r="H34" s="14" t="inlineStr">
        <is>
          <t xml:space="preserve">مدير قسم البنية التحتية والشبكات</t>
        </is>
      </c>
      <c r="I34" s="14" t="inlineStr">
        <is>
          <t xml:space="preserve">روابط مزدوجة بين مركز البيانات ومركز التعافي، وخطوط مؤمنة مع شبكة المدفوعات وساما، ومودمات احتياطية</t>
        </is>
      </c>
      <c r="J34" s="14">
        <v>2</v>
      </c>
      <c r="K34" s="14" t="inlineStr">
        <is>
          <t xml:space="preserve">توجد روابط مزدوجة ومودمات احتياطية؛ انقطاعات المزود السابقة كانت محدودة وقصيرة ولم تُسجل حالة انقطاع شامل.</t>
        </is>
      </c>
      <c r="L34" s="14">
        <v>4</v>
      </c>
      <c r="M34" s="14" t="inlineStr">
        <is>
          <t xml:space="preserve">تعطل الفروع والقنوات الرقمية والاتصال بشبكة المدفوعات لخسائر 5 إلى 25 مليون ريال وأثر مباشر على العملاء.</t>
        </is>
      </c>
      <c r="N34" s="12">
        <f>IFERROR(RiskAssessment[[#This Row],[الاحتمالية]]*RiskAssessment[[#This Row],[التأثير]],"غير محسوب")</f>
        <v>8</v>
      </c>
      <c r="O34" s="12">
        <f>IF(N34="غير محسوب","غير محسوب",IF(N34&gt;=16,"حرج",IF(N34&gt;=11,"مرتفع",IF(N34&gt;=5,"متوسط","منخفض"))))</f>
        <v>متوسط</v>
      </c>
      <c r="P34" s="14" t="inlineStr">
        <is>
          <t xml:space="preserve">التخفيف</t>
        </is>
      </c>
      <c r="Q34" s="14" t="inlineStr">
        <is>
          <t xml:space="preserve">1) إضافة مزود إنترنت ثانٍ للمقر الرئيسي والفروع عالية الحركة. 2) اختبار تحويل الاتصال الاحتياطي ربع سنوي موثق. 3) بنود مستوى خدمة (SLA) مع STC تتضمن تعويضات وأولوية استعادة. 4) خطة اتصال بديلة عبر الأقمار الصناعية لمركز التعافي.</t>
        </is>
      </c>
      <c r="R34" s="14" t="inlineStr">
        <is>
          <t xml:space="preserve">A.5.22، A.8.14، A.8.6، A.5.20</t>
        </is>
      </c>
      <c r="S34" s="100">
        <v>900000</v>
      </c>
      <c r="T34" s="14" t="inlineStr">
        <is>
          <t xml:space="preserve">مدير قسم البنية التحتية والشبكات</t>
        </is>
      </c>
      <c r="U34" s="14" t="inlineStr">
        <is>
          <t xml:space="preserve">2027-02-28</t>
        </is>
      </c>
      <c r="V34" s="14">
        <v>0.0</v>
      </c>
      <c r="W34" s="14" t="inlineStr">
        <is>
          <t xml:space="preserve">لم يبدأ</t>
        </is>
      </c>
      <c r="X34" s="14">
        <v>1</v>
      </c>
      <c r="Y34" s="14" t="inlineStr">
        <is>
          <t xml:space="preserve">تعدد المزودين واختبار التحويل يجعل الانقطاع الشامل نادر الحدوث جداً.</t>
        </is>
      </c>
      <c r="Z34" s="14">
        <v>4</v>
      </c>
      <c r="AA34" s="14" t="inlineStr">
        <is>
          <t xml:space="preserve">يبقى الأثر كبيراً في حال تزامن فشل أكثر من رابط.</t>
        </is>
      </c>
      <c r="AB34" s="12">
        <f>IFERROR(RiskAssessment[[#This Row],[الاحتمالية بعد المعالجة]]*RiskAssessment[[#This Row],[التأثير بعد المعالجة]],"غير محسوب")</f>
        <v>4</v>
      </c>
      <c r="AC34" s="12">
        <f>IF(AB34="غير محسوب","غير محسوب",IF(AB34&gt;=16,"حرج",IF(AB34&gt;=11,"مرتفع",IF(AB34&gt;=5,"متوسط","منخفض"))))</f>
        <v>منخفض</v>
      </c>
      <c r="AD34" s="14" t="inlineStr">
        <is>
          <t xml:space="preserve">مرتبط بسيناريو BCP-04 (انقطاع الشبكة) ومتابعة أداء الموردين الشهرية.</t>
        </is>
      </c>
    </row>
    <row r="35" spans="2:41" x14ac:dyDescent="0.25">
      <c r="B35" s="14" t="inlineStr">
        <is>
          <t xml:space="preserve">R-022</t>
        </is>
      </c>
      <c r="C35" s="14" t="inlineStr">
        <is>
          <t xml:space="preserve">التطبيقات المصرفية</t>
        </is>
      </c>
      <c r="D35" s="14" t="inlineStr">
        <is>
          <t xml:space="preserve">نظام إدارة البطاقات وبيانات اعتماد العملاء ونظام كشف الاحتيال</t>
        </is>
      </c>
      <c r="E35" s="14" t="inlineStr">
        <is>
          <t xml:space="preserve">احتيال مالي على حسابات العملاء أو سرقة بيانات البطاقات عبر انتحال الهوية أو استغلال ثغرات في قنوات الدفع</t>
        </is>
      </c>
      <c r="F35" s="14" t="inlineStr">
        <is>
          <t xml:space="preserve">قواعد كشف الاحتيال غير محدثة بما يكفي للحالات الجديدة، وعدم وجود مصادقة قوية على جميع عمليات الدفع عالية القيمة</t>
        </is>
      </c>
      <c r="G35" s="14" t="inlineStr">
        <is>
          <t xml:space="preserve">سرية وسلامة (CI)</t>
        </is>
      </c>
      <c r="H35" s="14" t="inlineStr">
        <is>
          <t xml:space="preserve">مدير إدارة العمليات المصرفية</t>
        </is>
      </c>
      <c r="I35" s="14" t="inlineStr">
        <is>
          <t xml:space="preserve">نظام كشف الاحتيال في الوقت الفعلي، وحدود تحويل يومية، ومصادقة متعددة العوامل لعمليات محددة، ومراقبة فريق الاحتيال</t>
        </is>
      </c>
      <c r="J35" s="14">
        <v>3</v>
      </c>
      <c r="K35" s="14" t="inlineStr">
        <is>
          <t xml:space="preserve">أوقف نظام كشف الاحتيال محاولة بقيمة 150,000 ريال سابقاً، لكن أساليب الاحتيال تتطور بسرعة والبنك رقمي بالكامل.</t>
        </is>
      </c>
      <c r="L35" s="14">
        <v>4</v>
      </c>
      <c r="M35" s="14" t="inlineStr">
        <is>
          <t xml:space="preserve">خسائر مباشرة وتعويضات عملاء وغرامات من 5 إلى 25 مليون ريال، وأثر سمعة كبير على بنك يعتمد على الثقة الرقمية.</t>
        </is>
      </c>
      <c r="N35" s="12">
        <f>IFERROR(RiskAssessment[[#This Row],[الاحتمالية]]*RiskAssessment[[#This Row],[التأثير]],"غير محسوب")</f>
        <v>12</v>
      </c>
      <c r="O35" s="12">
        <f>IF(N35="غير محسوب","غير محسوب",IF(N35&gt;=16,"حرج",IF(N35&gt;=11,"مرتفع",IF(N35&gt;=5,"متوسط","منخفض"))))</f>
        <v>مرتفع</v>
      </c>
      <c r="P35" s="14" t="inlineStr">
        <is>
          <t xml:space="preserve">التخفيف</t>
        </is>
      </c>
      <c r="Q35" s="14" t="inlineStr">
        <is>
          <t xml:space="preserve">1) تحديث قواعد كشف الاحتيال شهرياً وفق أنماط الاحتيال المستجدة. 2) إلزام المصادقة القوية (SCA) على جميع عمليات الدفع. 3) ربط تنبيهات الاحتيال بـSOC ضمن متابعة موحدة. 4) تحليل دوري لبيانات الاحتيال مع البنوك المراسلة.</t>
        </is>
      </c>
      <c r="R35" s="14" t="inlineStr">
        <is>
          <t xml:space="preserve">A.5.24، A.8.5، A.8.16، A.5.31</t>
        </is>
      </c>
      <c r="S35" s="100">
        <v>520000</v>
      </c>
      <c r="T35" s="14" t="inlineStr">
        <is>
          <t xml:space="preserve">مدير إدارة العمليات المصرفية</t>
        </is>
      </c>
      <c r="U35" s="14" t="inlineStr">
        <is>
          <t xml:space="preserve">2026-11-30</t>
        </is>
      </c>
      <c r="V35" s="14">
        <v>0.65</v>
      </c>
      <c r="W35" s="14" t="inlineStr">
        <is>
          <t xml:space="preserve">قيد التنفيذ</t>
        </is>
      </c>
      <c r="X35" s="14">
        <v>2</v>
      </c>
      <c r="Y35" s="14" t="inlineStr">
        <is>
          <t xml:space="preserve">المصادقة القوية وتحديث القواعد الدوري يخفضان نجاح الاحتيال إلى مستوى نادر.</t>
        </is>
      </c>
      <c r="Z35" s="14">
        <v>3</v>
      </c>
      <c r="AA35" s="14" t="inlineStr">
        <is>
          <t xml:space="preserve">يبقى أثر حالات الاحتيال الفردية متوسطاً لتعويض العملاء والأثر السمعة.</t>
        </is>
      </c>
      <c r="AB35" s="12">
        <f>IFERROR(RiskAssessment[[#This Row],[الاحتمالية بعد المعالجة]]*RiskAssessment[[#This Row],[التأثير بعد المعالجة]],"غير محسوب")</f>
        <v>6</v>
      </c>
      <c r="AC35" s="12">
        <f>IF(AB35="غير محسوب","غير محسوب",IF(AB35&gt;=16,"حرج",IF(AB35&gt;=11,"مرتفع",IF(AB35&gt;=5,"متوسط","منخفض"))))</f>
        <v>متوسط</v>
      </c>
      <c r="AD35" s="14" t="inlineStr">
        <is>
          <t xml:space="preserve">مرتبط بالحادثة INC-2025-003 وبمتطلبات مكافحة غسل الأموال.</t>
        </is>
      </c>
    </row>
    <row r="36" spans="2:41" x14ac:dyDescent="0.25">
      <c r="B36" s="14" t="inlineStr">
        <is>
          <t xml:space="preserve">R-023</t>
        </is>
      </c>
      <c r="C36" s="14" t="inlineStr">
        <is>
          <t xml:space="preserve">البيانات التقنية والأمنية</t>
        </is>
      </c>
      <c r="D36" s="14" t="inlineStr">
        <is>
          <t xml:space="preserve">الكود المصدري لتطبيقات البنك ونظام GitLab Enterprise وجدار الحماية</t>
        </is>
      </c>
      <c r="E36" s="14" t="inlineStr">
        <is>
          <t xml:space="preserve">تسريب الكود المصدري لتطبيقات البنك عبر وصول غير مصرح به إلى مستودع GitLab أو تسريب من مطور داخلي أو خارجي</t>
        </is>
      </c>
      <c r="F36" s="14" t="inlineStr">
        <is>
          <t xml:space="preserve">عدم تفعيل المصادقة متعددة العوامل على جميع حسابات GitLab، وغياب مراقبة تنزيل الكود بكميات كبيرة، وصلاحيات مطورين واسعة</t>
        </is>
      </c>
      <c r="G36" s="14" t="inlineStr">
        <is>
          <t xml:space="preserve">سرية (C)</t>
        </is>
      </c>
      <c r="H36" s="14" t="inlineStr">
        <is>
          <t xml:space="preserve">رئيس قسم تطوير البرمجيات</t>
        </is>
      </c>
      <c r="I36" s="14" t="inlineStr">
        <is>
          <t xml:space="preserve">صلاحيات مخصصة لكل مطور في GitLab، واتفاقيات سرية، ومراجعة كود داخلية، وجدار حماية يحمي الوصول للمستودع</t>
        </is>
      </c>
      <c r="J36" s="14">
        <v>2</v>
      </c>
      <c r="K36" s="14" t="inlineStr">
        <is>
          <t xml:space="preserve">المستودع داخلي غير مكشوف للإنترنت، وعدد من يملك صلاحية التنزيل الكامل محدود؛ لا توجد سوابق تسريب.</t>
        </is>
      </c>
      <c r="L36" s="14">
        <v>4</v>
      </c>
      <c r="M36" s="14" t="inlineStr">
        <is>
          <t xml:space="preserve">كشف الكود يسهّل هجمات موجهة على القنوات الرقمية ويعرّض بيانات العملاء للخطر بخسائر 5 إلى 25 مليون ريال.</t>
        </is>
      </c>
      <c r="N36" s="12">
        <f>IFERROR(RiskAssessment[[#This Row],[الاحتمالية]]*RiskAssessment[[#This Row],[التأثير]],"غير محسوب")</f>
        <v>8</v>
      </c>
      <c r="O36" s="12">
        <f>IF(N36="غير محسوب","غير محسوب",IF(N36&gt;=16,"حرج",IF(N36&gt;=11,"مرتفع",IF(N36&gt;=5,"متوسط","منخفض"))))</f>
        <v>متوسط</v>
      </c>
      <c r="P36" s="14" t="inlineStr">
        <is>
          <t xml:space="preserve">التخفيف</t>
        </is>
      </c>
      <c r="Q36" s="14" t="inlineStr">
        <is>
          <t xml:space="preserve">1) تفعيل MFA إلزامياً على جميع حسابات GitLab. 2) مراقبة وتنبيه عند تنزيل أو استنساخ كميات كبيرة من الكود. 3) مراجعة ربع سنوية لصلاحيات المستودع وسحب صلاحيات المطورين الخارجيين غير النشطين. 4) تشفير النسخ الاحتياطية للمستودع.</t>
        </is>
      </c>
      <c r="R36" s="14" t="inlineStr">
        <is>
          <t xml:space="preserve">A.8.4، A.5.17، A.8.15، A.5.18</t>
        </is>
      </c>
      <c r="S36" s="100">
        <v>95000</v>
      </c>
      <c r="T36" s="14" t="inlineStr">
        <is>
          <t xml:space="preserve">رئيس قسم تطوير البرمجيات</t>
        </is>
      </c>
      <c r="U36" s="14" t="inlineStr">
        <is>
          <t xml:space="preserve">2026-10-31</t>
        </is>
      </c>
      <c r="V36" s="14">
        <v>0.7</v>
      </c>
      <c r="W36" s="14" t="inlineStr">
        <is>
          <t xml:space="preserve">قيد التنفيذ</t>
        </is>
      </c>
      <c r="X36" s="14">
        <v>1</v>
      </c>
      <c r="Y36" s="14" t="inlineStr">
        <is>
          <t xml:space="preserve">MFA والمراقبة وسحب الصلاحيات تجعل التسريب نادر الحدوث جداً.</t>
        </is>
      </c>
      <c r="Z36" s="14">
        <v>4</v>
      </c>
      <c r="AA36" s="14" t="inlineStr">
        <is>
          <t xml:space="preserve">يبقى الأثر كبيراً لطبيعة المحتوى المسرّب إن وقع.</t>
        </is>
      </c>
      <c r="AB36" s="12">
        <f>IFERROR(RiskAssessment[[#This Row],[الاحتمالية بعد المعالجة]]*RiskAssessment[[#This Row],[التأثير بعد المعالجة]],"غير محسوب")</f>
        <v>4</v>
      </c>
      <c r="AC36" s="12">
        <f>IF(AB36="غير محسوب","غير محسوب",IF(AB36&gt;=16,"حرج",IF(AB36&gt;=11,"مرتفع",IF(AB36&gt;=5,"متوسط","منخفض"))))</f>
        <v>منخفض</v>
      </c>
      <c r="AD36" s="14" t="inlineStr">
        <is>
          <t xml:space="preserve">مرتبط بمخاطر الموردين R-013 والضابط A.8.4 (الوصول إلى الكود المصدري).</t>
        </is>
      </c>
    </row>
    <row r="37" spans="2:41" x14ac:dyDescent="0.25">
      <c r="B37" s="14" t="inlineStr">
        <is>
          <t xml:space="preserve">R-024</t>
        </is>
      </c>
      <c r="C37" s="14" t="inlineStr">
        <is>
          <t xml:space="preserve">البيانات التقنية والأمنية</t>
        </is>
      </c>
      <c r="D37" s="14" t="inlineStr">
        <is>
          <t xml:space="preserve">سجلات الأمان والأحداث وأنظمة IDS/IPS وحل مكافحة البرمجيات الخبيثة</t>
        </is>
      </c>
      <c r="E37" s="14" t="inlineStr">
        <is>
          <t xml:space="preserve">تأخر اكتشاف الحوادث الأمنية بسبب التحليل اليدوي للسجلات في غياب نظام SIEM، مما يطيل زمن الاحتواء ويزيد الأثر</t>
        </is>
      </c>
      <c r="F37" s="14" t="inlineStr">
        <is>
          <t xml:space="preserve">عدم وجود SIEM ولا ربط آلي للتنبيهات (فجوة G-05)، واعتماد SOC على مراجعة يدوية لسجلات Syslog، وغياب حالات استخدام (Use Cases) موحدة</t>
        </is>
      </c>
      <c r="G37" s="14" t="inlineStr">
        <is>
          <t xml:space="preserve">سرية وسلامة وتوافر (CIA)</t>
        </is>
      </c>
      <c r="H37" s="14" t="inlineStr">
        <is>
          <t xml:space="preserve">مدير إدارة أمن المعلومات</t>
        </is>
      </c>
      <c r="I37" s="14" t="inlineStr">
        <is>
          <t xml:space="preserve">خادم Syslog مركزي لجمع السجلات، و8 محللين في SOC بنظام المناوبات، وتنبيهات من IDS/IPS ومكافحة الفيروسات</t>
        </is>
      </c>
      <c r="J37" s="14">
        <v>4</v>
      </c>
      <c r="K37" s="14" t="inlineStr">
        <is>
          <t xml:space="preserve">التحليل يدوي بالكامل حالياً وحجم السجلات كبير؛ اكتشاف حادثة INC-2024-001 استغرق 45 دقيقة وحادثة التصيد ساعتين.</t>
        </is>
      </c>
      <c r="L37" s="14">
        <v>4</v>
      </c>
      <c r="M37" s="14" t="inlineStr">
        <is>
          <t xml:space="preserve">طول زمن الاحتواء يضاعف أثر أي اختراق إلى خسائر 5 إلى 25 مليون ريال، مع ملاحظات رقابية بشأن قدرات المراقبة.</t>
        </is>
      </c>
      <c r="N37" s="12">
        <f>IFERROR(RiskAssessment[[#This Row],[الاحتمالية]]*RiskAssessment[[#This Row],[التأثير]],"غير محسوب")</f>
        <v>16</v>
      </c>
      <c r="O37" s="12">
        <f>IF(N37="غير محسوب","غير محسوب",IF(N37&gt;=16,"حرج",IF(N37&gt;=11,"مرتفع",IF(N37&gt;=5,"متوسط","منخفض"))))</f>
        <v>حرج</v>
      </c>
      <c r="P37" s="14" t="inlineStr">
        <is>
          <t xml:space="preserve">التخفيف</t>
        </is>
      </c>
      <c r="Q37" s="14" t="inlineStr">
        <is>
          <t xml:space="preserve">1) توريد وتشغيل SIEM مع ربط جميع المصادر الحرجة. 2) بناء 25 حالة استخدام للكشف ذات أولوية مصرفية. 3) أتمتة التنبيهات وربطها بنظام التذاكر (Jira). 4) اعتماد مؤشرات زمن الاكتشاف (MTTD) وزمن الاستجابة (MTTR) ومتابعتها شهرياً.</t>
        </is>
      </c>
      <c r="R37" s="14" t="inlineStr">
        <is>
          <t xml:space="preserve">A.8.15، A.8.16، A.5.25، A.5.26، A.8.17</t>
        </is>
      </c>
      <c r="S37" s="100">
        <v>2600000</v>
      </c>
      <c r="T37" s="14" t="inlineStr">
        <is>
          <t xml:space="preserve">مدير إدارة أمن المعلومات</t>
        </is>
      </c>
      <c r="U37" s="14" t="inlineStr">
        <is>
          <t xml:space="preserve">2027-03-31</t>
        </is>
      </c>
      <c r="V37" s="14">
        <v>0.3</v>
      </c>
      <c r="W37" s="14" t="inlineStr">
        <is>
          <t xml:space="preserve">قيد التنفيذ</t>
        </is>
      </c>
      <c r="X37" s="14">
        <v>2</v>
      </c>
      <c r="Y37" s="14" t="inlineStr">
        <is>
          <t xml:space="preserve">SIEM والتنبيهات المؤتمتة تخفض احتمال التأخر في الاكتشاف إلى مستوى نادر.</t>
        </is>
      </c>
      <c r="Z37" s="14">
        <v>3</v>
      </c>
      <c r="AA37" s="14" t="inlineStr">
        <is>
          <t xml:space="preserve">يبقى أثر بعض الحوادث المتطورة متوسطاً حتى مع المراقبة الآلية.</t>
        </is>
      </c>
      <c r="AB37" s="12">
        <f>IFERROR(RiskAssessment[[#This Row],[الاحتمالية بعد المعالجة]]*RiskAssessment[[#This Row],[التأثير بعد المعالجة]],"غير محسوب")</f>
        <v>6</v>
      </c>
      <c r="AC37" s="12">
        <f>IF(AB37="غير محسوب","غير محسوب",IF(AB37&gt;=16,"حرج",IF(AB37&gt;=11,"مرتفع",IF(AB37&gt;=5,"متوسط","منخفض"))))</f>
        <v>متوسط</v>
      </c>
      <c r="AD37" s="14" t="inlineStr">
        <is>
          <t xml:space="preserve">فجوة جوهرية (G-05)؛ المشروع الأكبر في ميزانية 2026 ومرتبطة بحالة عدم المطابقة NC-01 في التدقيق الداخلي.</t>
        </is>
      </c>
    </row>
    <row r="38" spans="2:41" x14ac:dyDescent="0.25">
      <c r="B38" s="14" t="inlineStr">
        <is>
          <t xml:space="preserve">R-025</t>
        </is>
      </c>
      <c r="C38" s="14" t="inlineStr">
        <is>
          <t xml:space="preserve">بيانات العملاء</t>
        </is>
      </c>
      <c r="D38" s="14" t="inlineStr">
        <is>
          <t xml:space="preserve">البيانات البيومترية للعملاء (بصمات الأصابع) وقاعدة بيانات العملاء</t>
        </is>
      </c>
      <c r="E38" s="14" t="inlineStr">
        <is>
          <t xml:space="preserve">تسريب أو كشف البيانات البيومترية للعملاء، وهي بيانات غير قابلة للاستبدال وتثير التزامات نظامية مشددة</t>
        </is>
      </c>
      <c r="F38" s="14" t="inlineStr">
        <is>
          <t xml:space="preserve">تخزين البيانات البيومترية ضمن بيئة قواعد البيانات العامة دون عزل كافٍ، وغياب تقييم أثر حماية البيانات (DPIA) لهذه المعالجة</t>
        </is>
      </c>
      <c r="G38" s="14" t="inlineStr">
        <is>
          <t xml:space="preserve">سرية (C)</t>
        </is>
      </c>
      <c r="H38" s="14" t="inlineStr">
        <is>
          <t xml:space="preserve">مدير قسم التطبيقات المصرفية</t>
        </is>
      </c>
      <c r="I38" s="14" t="inlineStr">
        <is>
          <t xml:space="preserve">تشفير وحدة التخزين المخصصة، وصلاحيات مقيدة على الجدول البيومتري، ومصادقة قوية للوصول الإداري</t>
        </is>
      </c>
      <c r="J38" s="14">
        <v>2</v>
      </c>
      <c r="K38" s="14" t="inlineStr">
        <is>
          <t xml:space="preserve">الوحدة معزولة ومشفرة وعدد من يملك الوصول إليها محدود جداً؛ لا توجد سوابق انكشاف.</t>
        </is>
      </c>
      <c r="L38" s="14">
        <v>5</v>
      </c>
      <c r="M38" s="14" t="inlineStr">
        <is>
          <t xml:space="preserve">تسريب بيانات بيومترية غير قابلة للاستبدال يترتب عليه غرامات مشددة من سدايا ودعاوى جماعية وخسائر تتجاوز 25 مليون ريال.</t>
        </is>
      </c>
      <c r="N38" s="12">
        <f>IFERROR(RiskAssessment[[#This Row],[الاحتمالية]]*RiskAssessment[[#This Row],[التأثير]],"غير محسوب")</f>
        <v>10</v>
      </c>
      <c r="O38" s="12">
        <f>IF(N38="غير محسوب","غير محسوب",IF(N38&gt;=16,"حرج",IF(N38&gt;=11,"مرتفع",IF(N38&gt;=5,"متوسط","منخفض"))))</f>
        <v>متوسط</v>
      </c>
      <c r="P38" s="14" t="inlineStr">
        <is>
          <t xml:space="preserve">التخفيف</t>
        </is>
      </c>
      <c r="Q38" s="14" t="inlineStr">
        <is>
          <t xml:space="preserve">1) إجراء تقييم أثر حماية البيانات (DPIA) لمعالجة البيانات البيومترية. 2) عزل قاعدة البيانات البيومترية في خادم مخصص مع تشفير على مستوى العمود. 3) تحويل البصمات إلى قوالب (Templates) غير قابلة للعكس وعدم تخزين الصور الأصلية. 4) مراجعة سنوية لصلاحيات الوصول.</t>
        </is>
      </c>
      <c r="R38" s="14" t="inlineStr">
        <is>
          <t xml:space="preserve">A.5.34، A.8.24، A.8.3، A.5.33</t>
        </is>
      </c>
      <c r="S38" s="100">
        <v>210000</v>
      </c>
      <c r="T38" s="14" t="inlineStr">
        <is>
          <t xml:space="preserve">مدير إدارة أمن المعلومات</t>
        </is>
      </c>
      <c r="U38" s="14" t="inlineStr">
        <is>
          <t xml:space="preserve">2026-12-31</t>
        </is>
      </c>
      <c r="V38" s="14">
        <v>0.45</v>
      </c>
      <c r="W38" s="14" t="inlineStr">
        <is>
          <t xml:space="preserve">قيد التنفيذ</t>
        </is>
      </c>
      <c r="X38" s="14">
        <v>1</v>
      </c>
      <c r="Y38" s="14" t="inlineStr">
        <is>
          <t xml:space="preserve">العزل والتشفير على مستوى العمود وتحويل القوالب يجعل التسريب نادر الحدوث جداً.</t>
        </is>
      </c>
      <c r="Z38" s="14">
        <v>4</v>
      </c>
      <c r="AA38" s="14" t="inlineStr">
        <is>
          <t xml:space="preserve">يبقى الأثر كبيراً لحساسية البيانات البيومترية وطبيعتها غير القابلة للاستبدال.</t>
        </is>
      </c>
      <c r="AB38" s="12">
        <f>IFERROR(RiskAssessment[[#This Row],[الاحتمالية بعد المعالجة]]*RiskAssessment[[#This Row],[التأثير بعد المعالجة]],"غير محسوب")</f>
        <v>4</v>
      </c>
      <c r="AC38" s="12">
        <f>IF(AB38="غير محسوب","غير محسوب",IF(AB38&gt;=16,"حرج",IF(AB38&gt;=11,"مرتفع",IF(AB38&gt;=5,"متوسط","منخفض"))))</f>
        <v>منخفض</v>
      </c>
      <c r="AD38" s="14" t="inlineStr">
        <is>
          <t xml:space="preserve">مرتبط بنظام حماية البيانات الشخصية ومتطلبات سدايا.</t>
        </is>
      </c>
    </row>
    <row r="39" spans="2:41" x14ac:dyDescent="0.25">
      <c r="B39" s="14" t="inlineStr">
        <is>
          <t xml:space="preserve">R-026</t>
        </is>
      </c>
      <c r="C39" s="14" t="inlineStr">
        <is>
          <t xml:space="preserve">المرافق والأمن المادي</t>
        </is>
      </c>
      <c r="D39" s="14" t="inlineStr">
        <is>
          <t xml:space="preserve">أنظمة الطاقة (UPS والمولدات) والتكييف الدقيق في مراكز البيانات</t>
        </is>
      </c>
      <c r="E39" s="14" t="inlineStr">
        <is>
          <t xml:space="preserve">فشل أنظمة الطاقة أو التكييف في مركز البيانات الرئيسي يؤدي إلى إيقاف الخوادم أو تلف المعدات</t>
        </is>
      </c>
      <c r="F39" s="14" t="inlineStr">
        <is>
          <t xml:space="preserve">صيانة وقائية ربع سنوية فقط للمولدات وUPS دون اختبار حِمل فعلي، وارتفاع درجات الحرارة الموسمية في الرياض</t>
        </is>
      </c>
      <c r="G39" s="14" t="inlineStr">
        <is>
          <t xml:space="preserve">توافر (A)</t>
        </is>
      </c>
      <c r="H39" s="14" t="inlineStr">
        <is>
          <t xml:space="preserve">مدير إدارة المرافق والخدمات العامة</t>
        </is>
      </c>
      <c r="I39" s="14" t="inlineStr">
        <is>
          <t xml:space="preserve">أنظمة UPS في جميع المواقع الحرجة، ومولدات احتياطية، وتكييف دقيق مزدوج، وأنظمة إنذار ومراقبة بيئية</t>
        </is>
      </c>
      <c r="J39" s="14">
        <v>2</v>
      </c>
      <c r="K39" s="14" t="inlineStr">
        <is>
          <t xml:space="preserve">توجد أنظمة redundant ولم تُسجل حالات فشل مطوّلة؛ يبقى احتمال فشل متزامن قائماً مع الحرارة العالية وقدم بعض المعدات.</t>
        </is>
      </c>
      <c r="L39" s="14">
        <v>4</v>
      </c>
      <c r="M39" s="14" t="inlineStr">
        <is>
          <t xml:space="preserve">إيقاف مفاجئ للخوادم قد يسبب فقدان بيانات وتوقف خدمات بخسائر 5 إلى 25 مليون ريال.</t>
        </is>
      </c>
      <c r="N39" s="12">
        <f>IFERROR(RiskAssessment[[#This Row],[الاحتمالية]]*RiskAssessment[[#This Row],[التأثير]],"غير محسوب")</f>
        <v>8</v>
      </c>
      <c r="O39" s="12">
        <f>IF(N39="غير محسوب","غير محسوب",IF(N39&gt;=16,"حرج",IF(N39&gt;=11,"مرتفع",IF(N39&gt;=5,"متوسط","منخفض"))))</f>
        <v>متوسط</v>
      </c>
      <c r="P39" s="14" t="inlineStr">
        <is>
          <t xml:space="preserve">النقل</t>
        </is>
      </c>
      <c r="Q39" s="14" t="inlineStr">
        <is>
          <t xml:space="preserve">نقل مسؤولية التشغيل والصيانة إلى طرف ثالث متخصص بعقد مُلزِم، وذلك عبر: 1) التعاقد مع مقاول متخصص لتشغيل وصيانة أنظمة الطاقة والتكييف بعقد مستوى خدمة (SLA) يتضمن غرامات تأخير واستجابة خلال 4 ساعات، مع الإبقاء على الصيانة الوقائية الشهرية واختبار حِمل فعلي للمولدات كل 3 أشهر. 2) مراقبة بيئية لحظية (حرارة ورطوبة) مع تنبيه آلي لـSOC. 3) استبدال بطاريات UPS وفق دورة حياة معتمدة. 4) خطة إيقاف منظّم (Graceful Shutdown) للأنظمة غير الحرجة.</t>
        </is>
      </c>
      <c r="R39" s="14" t="inlineStr">
        <is>
          <t xml:space="preserve">A.7.11، A.7.5، A.7.13، A.8.14</t>
        </is>
      </c>
      <c r="S39" s="100">
        <v>340000</v>
      </c>
      <c r="T39" s="14" t="inlineStr">
        <is>
          <t xml:space="preserve">مدير إدارة المرافق والخدمات العامة</t>
        </is>
      </c>
      <c r="U39" s="14" t="inlineStr">
        <is>
          <t xml:space="preserve">2026-12-31</t>
        </is>
      </c>
      <c r="V39" s="14">
        <v>0.4</v>
      </c>
      <c r="W39" s="14" t="inlineStr">
        <is>
          <t xml:space="preserve">قيد التنفيذ</t>
        </is>
      </c>
      <c r="X39" s="14">
        <v>1</v>
      </c>
      <c r="Y39" s="14" t="inlineStr">
        <is>
          <t xml:space="preserve">الصيانة الشهرية واختبارات الحِمل والمراقبة اللحظية تجعل الفشل غير المعالج نادر الحدوث جداً.</t>
        </is>
      </c>
      <c r="Z39" s="14">
        <v>4</v>
      </c>
      <c r="AA39" s="14" t="inlineStr">
        <is>
          <t xml:space="preserve">يبقى أثر الفشل المفاجئ كبيراً لاعتماد جميع الأنظمة على المرافق.</t>
        </is>
      </c>
      <c r="AB39" s="12">
        <f>IFERROR(RiskAssessment[[#This Row],[الاحتمالية بعد المعالجة]]*RiskAssessment[[#This Row],[التأثير بعد المعالجة]],"غير محسوب")</f>
        <v>4</v>
      </c>
      <c r="AC39" s="12">
        <f>IF(AB39="غير محسوب","غير محسوب",IF(AB39&gt;=16,"حرج",IF(AB39&gt;=11,"مرتفع",IF(AB39&gt;=5,"متوسط","منخفض"))))</f>
        <v>منخفض</v>
      </c>
      <c r="AD39" s="14" t="inlineStr">
        <is>
          <t xml:space="preserve">مرتبط بسيناريو BCP-07 وأصول A-045.</t>
        </is>
      </c>
    </row>
    <row r="40" spans="2:41" x14ac:dyDescent="0.25">
      <c r="B40" s="14" t="inlineStr">
        <is>
          <t xml:space="preserve">R-027</t>
        </is>
      </c>
      <c r="C40" s="14" t="inlineStr">
        <is>
          <t xml:space="preserve">البنية التحتية والأجهزة</t>
        </is>
      </c>
      <c r="D40" s="14" t="inlineStr">
        <is>
          <t xml:space="preserve">الأجهزة اللوحية والهواتف الذكية المؤسسية (200 جهاز للمدراء والموظفين المتنقلين)</t>
        </is>
      </c>
      <c r="E40" s="14" t="inlineStr">
        <is>
          <t xml:space="preserve">فقدان أو اختراق الأجهزة الذكية المؤسسية للمدراء وما تحتويه من بريد ومراسلات ووثائق حساسة</t>
        </is>
      </c>
      <c r="F40" s="14" t="inlineStr">
        <is>
          <t xml:space="preserve">عدم تطبيق إدارة الأجهزة المحمولة (MDM) على جميع الأجهزة الذكية، واستخدام بعض المدراء لتطبيقات مراسلة غير مؤسسية لأغراض العمل</t>
        </is>
      </c>
      <c r="G40" s="14" t="inlineStr">
        <is>
          <t xml:space="preserve">سرية (C)</t>
        </is>
      </c>
      <c r="H40" s="14" t="inlineStr">
        <is>
          <t xml:space="preserve">مدير قسم الدعم الفني</t>
        </is>
      </c>
      <c r="I40" s="14" t="inlineStr">
        <is>
          <t xml:space="preserve">كلمات مرور للأجهزة، وMFA للبريد على الأجهزة المسجلة، وسياسة استخدام مقبول معتمدة</t>
        </is>
      </c>
      <c r="J40" s="14">
        <v>3</v>
      </c>
      <c r="K40" s="14" t="inlineStr">
        <is>
          <t xml:space="preserve">الأجهزة متنقلة وتُستخدم خارج المملكة أحياناً، و200 جهاز موزع على المدراء الأكثر اطلاعاً على معلومات حساسة.</t>
        </is>
      </c>
      <c r="L40" s="14">
        <v>3</v>
      </c>
      <c r="M40" s="14" t="inlineStr">
        <is>
          <t xml:space="preserve">انكشاف مراسلات ووثائق إدارية حساسة بخسائر 1 إلى 5 ملايين ريال وأثر على سرية قرارات الإدارة العليا.</t>
        </is>
      </c>
      <c r="N40" s="12">
        <f>IFERROR(RiskAssessment[[#This Row],[الاحتمالية]]*RiskAssessment[[#This Row],[التأثير]],"غير محسوب")</f>
        <v>9</v>
      </c>
      <c r="O40" s="12">
        <f>IF(N40="غير محسوب","غير محسوب",IF(N40&gt;=16,"حرج",IF(N40&gt;=11,"مرتفع",IF(N40&gt;=5,"متوسط","منخفض"))))</f>
        <v>متوسط</v>
      </c>
      <c r="P40" s="14" t="inlineStr">
        <is>
          <t xml:space="preserve">التخفيف</t>
        </is>
      </c>
      <c r="Q40" s="14" t="inlineStr">
        <is>
          <t xml:space="preserve">1) إلزام تسجيل جميع الأجهزة الذكية في MDM مع تشفير ومسح عن بُعد. 2) حاوية مؤسسية معزولة لتطبيقات العمل (Containerization). 3) حظر تطبيقات المراسلة غير المعتمدة للبيانات الحساسة. 4) توعية مخصصة للمدراء والتنفيذيين.</t>
        </is>
      </c>
      <c r="R40" s="14" t="inlineStr">
        <is>
          <t xml:space="preserve">A.8.1، A.6.7، A.5.10، A.7.9</t>
        </is>
      </c>
      <c r="S40" s="100">
        <v>160000</v>
      </c>
      <c r="T40" s="14" t="inlineStr">
        <is>
          <t xml:space="preserve">مدير قسم الدعم الفني</t>
        </is>
      </c>
      <c r="U40" s="14" t="inlineStr">
        <is>
          <t xml:space="preserve">2026-11-30</t>
        </is>
      </c>
      <c r="V40" s="14">
        <v>0.5</v>
      </c>
      <c r="W40" s="14" t="inlineStr">
        <is>
          <t xml:space="preserve">قيد التنفيذ</t>
        </is>
      </c>
      <c r="X40" s="14">
        <v>2</v>
      </c>
      <c r="Y40" s="14" t="inlineStr">
        <is>
          <t xml:space="preserve">MDM والتشفير والمسح عن بُعد تخفض الاحتمالية إلى مستوى نادر.</t>
        </is>
      </c>
      <c r="Z40" s="14">
        <v>2</v>
      </c>
      <c r="AA40" s="14" t="inlineStr">
        <is>
          <t xml:space="preserve">يتحول الأثر إلى فقد جهاز واحد يمكن مسحه عن بُعد دون انكشاف بيانات.</t>
        </is>
      </c>
      <c r="AB40" s="12">
        <f>IFERROR(RiskAssessment[[#This Row],[الاحتمالية بعد المعالجة]]*RiskAssessment[[#This Row],[التأثير بعد المعالجة]],"غير محسوب")</f>
        <v>4</v>
      </c>
      <c r="AC40" s="12">
        <f>IF(AB40="غير محسوب","غير محسوب",IF(AB40&gt;=16,"حرج",IF(AB40&gt;=11,"مرتفع",IF(AB40&gt;=5,"متوسط","منخفض"))))</f>
        <v>منخفض</v>
      </c>
      <c r="AD40" s="14" t="inlineStr">
        <is>
          <t xml:space="preserve">مرتبط بسياسة الاستخدام المقبول (A05-10-1) وضابط العمل عن بُعد A.6.7.</t>
        </is>
      </c>
    </row>
    <row r="41" spans="2:41" x14ac:dyDescent="0.25">
      <c r="B41" s="14" t="inlineStr">
        <is>
          <t xml:space="preserve">R-028</t>
        </is>
      </c>
      <c r="C41" s="14" t="inlineStr">
        <is>
          <t xml:space="preserve">الموردون والخدمات الخارجية</t>
        </is>
      </c>
      <c r="D41" s="14" t="inlineStr">
        <is>
          <t xml:space="preserve">الموردون التقنيون ومنتجاتهم (مكافحة الفيروسات، منصة الثغرات، أجهزة الشبكة)</t>
        </is>
      </c>
      <c r="E41" s="14" t="inlineStr">
        <is>
          <t xml:space="preserve">هجوم عبر سلسلة التوريد: تحديث أو منتج ملوّث من مورد تقني يؤدي إلى اختراق بيئة البنك</t>
        </is>
      </c>
      <c r="F41" s="14" t="inlineStr">
        <is>
          <t xml:space="preserve">عدم فحص سلامة التحديثات الواردة من الموردين، وغياب تقييم أمني دوري لمعظم الموردين التقنيين، واتساع صلاحيات الوصول عن بُعد لبعضهم</t>
        </is>
      </c>
      <c r="G41" s="14" t="inlineStr">
        <is>
          <t xml:space="preserve">سرية وسلامة (CI)</t>
        </is>
      </c>
      <c r="H41" s="14" t="inlineStr">
        <is>
          <t xml:space="preserve">مدير إدارة أمن المعلومات</t>
        </is>
      </c>
      <c r="I41" s="14" t="inlineStr">
        <is>
          <t xml:space="preserve">اتفاقيات سرية وعقود مع الموردين، وتحديثات عبر قنوات رسمية، ووصول عن بُعد مقيد لبعض الموردين</t>
        </is>
      </c>
      <c r="J41" s="14">
        <v>2</v>
      </c>
      <c r="K41" s="14" t="inlineStr">
        <is>
          <t xml:space="preserve">لم تُسجل حوادث سلسلة توريد في البنك؛ لكن تزايد هذه الهجمات عالمياً ووجود وصول عن بُعد لعدة موردين يُبقي الاحتمال قائماً.</t>
        </is>
      </c>
      <c r="L41" s="14">
        <v>4</v>
      </c>
      <c r="M41" s="14" t="inlineStr">
        <is>
          <t xml:space="preserve">اختراق عبر مورد موثوق يتجاوز ضوابط الحدود بخسائر 5 إلى 25 مليون ريال ويصعب اكتشافه مبكراً.</t>
        </is>
      </c>
      <c r="N41" s="12">
        <f>IFERROR(RiskAssessment[[#This Row],[الاحتمالية]]*RiskAssessment[[#This Row],[التأثير]],"غير محسوب")</f>
        <v>8</v>
      </c>
      <c r="O41" s="12">
        <f>IF(N41="غير محسوب","غير محسوب",IF(N41&gt;=16,"حرج",IF(N41&gt;=11,"مرتفع",IF(N41&gt;=5,"متوسط","منخفض"))))</f>
        <v>متوسط</v>
      </c>
      <c r="P41" s="14" t="inlineStr">
        <is>
          <t xml:space="preserve">التخفيف</t>
        </is>
      </c>
      <c r="Q41" s="14" t="inlineStr">
        <is>
          <t xml:space="preserve">1) تقييم أمني سنوي لجميع الموردين الحرجين وفق مصفوفة تصنيف الموردين. 2) بنود تعاقدية تلزم المورد بالإبلاغ عن أي حادث خلال 24 ساعة وحق التدقيق. 3) عزل شبكة إدارة الموردين (Vendor VLAN) وتسجيل جميع الجلسات. 4) فحص سلامة التحديثات والتحقق من التوقيعات الرقمية قبل التوزيع.</t>
        </is>
      </c>
      <c r="R41" s="14" t="inlineStr">
        <is>
          <t xml:space="preserve">A.5.19، A.5.20، A.5.21، A.5.22، A.8.22</t>
        </is>
      </c>
      <c r="S41" s="100">
        <v>350000</v>
      </c>
      <c r="T41" s="14" t="inlineStr">
        <is>
          <t xml:space="preserve">مدير إدارة أمن المعلومات</t>
        </is>
      </c>
      <c r="U41" s="14" t="inlineStr">
        <is>
          <t xml:space="preserve">2027-01-31</t>
        </is>
      </c>
      <c r="V41" s="14">
        <v>0.0</v>
      </c>
      <c r="W41" s="14" t="inlineStr">
        <is>
          <t xml:space="preserve">لم يبدأ</t>
        </is>
      </c>
      <c r="X41" s="14">
        <v>1</v>
      </c>
      <c r="Y41" s="14" t="inlineStr">
        <is>
          <t xml:space="preserve">التقييم السنوي والبنود التعاقدية وعزل شبكة الموردين تجعل الاختراق عبر مورد نادر الحدوث جداً.</t>
        </is>
      </c>
      <c r="Z41" s="14">
        <v>4</v>
      </c>
      <c r="AA41" s="14" t="inlineStr">
        <is>
          <t xml:space="preserve">يبقى الأثر كبيراً في حال تحققه لاتساع الثقة الممنوحة للموردين.</t>
        </is>
      </c>
      <c r="AB41" s="12">
        <f>IFERROR(RiskAssessment[[#This Row],[الاحتمالية بعد المعالجة]]*RiskAssessment[[#This Row],[التأثير بعد المعالجة]],"غير محسوب")</f>
        <v>4</v>
      </c>
      <c r="AC41" s="12">
        <f>IF(AB41="غير محسوب","غير محسوب",IF(AB41&gt;=16,"حرج",IF(AB41&gt;=11,"مرتفع",IF(AB41&gt;=5,"متوسط","منخفض"))))</f>
        <v>منخفض</v>
      </c>
      <c r="AD41" s="14" t="inlineStr">
        <is>
          <t xml:space="preserve">مرتبط بـR-013 وR-021 والضوابط A.5.19 حتى A.5.22.</t>
        </is>
      </c>
    </row>
    <row r="42" spans="2:41" x14ac:dyDescent="0.25">
      <c r="B42" s="14" t="inlineStr">
        <is>
          <t xml:space="preserve">R-029</t>
        </is>
      </c>
      <c r="C42" s="14" t="inlineStr">
        <is>
          <t xml:space="preserve">البيانات التقنية والأمنية</t>
        </is>
      </c>
      <c r="D42" s="14" t="inlineStr">
        <is>
          <t xml:space="preserve">بيئات التطوير والاختبار والإنتاج ونظام GitLab</t>
        </is>
      </c>
      <c r="E42" s="14" t="inlineStr">
        <is>
          <t xml:space="preserve">انتقال تغيير غير مختبر أو خاطئ من بيئة التطوير إلى بيئة الإنتاج يعطل الخدمات المصرفية الرقمية</t>
        </is>
      </c>
      <c r="F42" s="14" t="inlineStr">
        <is>
          <t xml:space="preserve">عدم كفاية فصل بيئات التطوير والاختبار والإنتاج (فجوة G-04)، ونقص أتمتة الاختبارات الأمنية قبل النشر</t>
        </is>
      </c>
      <c r="G42" s="14" t="inlineStr">
        <is>
          <t xml:space="preserve">سلامة وتوافر (IA)</t>
        </is>
      </c>
      <c r="H42" s="14" t="inlineStr">
        <is>
          <t xml:space="preserve">رئيس قسم تطوير البرمجيات</t>
        </is>
      </c>
      <c r="I42" s="14" t="inlineStr">
        <is>
          <t xml:space="preserve">خوادم افتراضية منفصلة للبيئات الثلاث، وإجراء نشر موثق، واختبار قبول يدوي قبل الإصدار</t>
        </is>
      </c>
      <c r="J42" s="14">
        <v>3</v>
      </c>
      <c r="K42" s="14" t="inlineStr">
        <is>
          <t xml:space="preserve">الفصل منطقي أكثر منه شبكي، و25 مطوراً ينشرون تحديثات متكررة لتطبيق آفاق بلس دون بوابة اختبار أمني آلية.</t>
        </is>
      </c>
      <c r="L42" s="14">
        <v>3</v>
      </c>
      <c r="M42" s="14" t="inlineStr">
        <is>
          <t xml:space="preserve">تعطل جزئي للخدمات الرقمية وتأخر الإصدارات بخسائر 1 إلى 5 ملايين ريال وشكاوى عملاء.</t>
        </is>
      </c>
      <c r="N42" s="12">
        <f>IFERROR(RiskAssessment[[#This Row],[الاحتمالية]]*RiskAssessment[[#This Row],[التأثير]],"غير محسوب")</f>
        <v>9</v>
      </c>
      <c r="O42" s="12">
        <f>IF(N42="غير محسوب","غير محسوب",IF(N42&gt;=16,"حرج",IF(N42&gt;=11,"مرتفع",IF(N42&gt;=5,"متوسط","منخفض"))))</f>
        <v>متوسط</v>
      </c>
      <c r="P42" s="14" t="inlineStr">
        <is>
          <t xml:space="preserve">التخفيف</t>
        </is>
      </c>
      <c r="Q42" s="14" t="inlineStr">
        <is>
          <t xml:space="preserve">1) فصل شبكي كامل بين البيئات الثلاث مع قواعد جدار حماية صارمة. 2) أتمتة خط النشر (CI/CD) مع بوابة اختبار أمني إلزامية. 3) منع أي نشر إنتاجي دون موافقة change advisory board. 4) بيئة Staging مطابقة للإنتاج لاختبار القبول.</t>
        </is>
      </c>
      <c r="R42" s="14" t="inlineStr">
        <is>
          <t xml:space="preserve">A.8.31، A.8.32، A.8.29، A.8.25</t>
        </is>
      </c>
      <c r="S42" s="100">
        <v>240000</v>
      </c>
      <c r="T42" s="14" t="inlineStr">
        <is>
          <t xml:space="preserve">رئيس قسم تطوير البرمجيات</t>
        </is>
      </c>
      <c r="U42" s="14" t="inlineStr">
        <is>
          <t xml:space="preserve">2026-12-31</t>
        </is>
      </c>
      <c r="V42" s="14">
        <v>0.45</v>
      </c>
      <c r="W42" s="14" t="inlineStr">
        <is>
          <t xml:space="preserve">قيد التنفيذ</t>
        </is>
      </c>
      <c r="X42" s="14">
        <v>2</v>
      </c>
      <c r="Y42" s="14" t="inlineStr">
        <is>
          <t xml:space="preserve">الفصل الشبكي وأتمتة الاختبارات وبوابة الموافقة تخفض الاحتمالية إلى مستوى نادر.</t>
        </is>
      </c>
      <c r="Z42" s="14">
        <v>3</v>
      </c>
      <c r="AA42" s="14" t="inlineStr">
        <is>
          <t xml:space="preserve">يبقى أثر أي عيب يصل للإنتاج متوسطاً لحين التراجع عن التغيير.</t>
        </is>
      </c>
      <c r="AB42" s="12">
        <f>IFERROR(RiskAssessment[[#This Row],[الاحتمالية بعد المعالجة]]*RiskAssessment[[#This Row],[التأثير بعد المعالجة]],"غير محسوب")</f>
        <v>6</v>
      </c>
      <c r="AC42" s="12">
        <f>IF(AB42="غير محسوب","غير محسوب",IF(AB42&gt;=16,"حرج",IF(AB42&gt;=11,"مرتفع",IF(AB42&gt;=5,"متوسط","منخفض"))))</f>
        <v>متوسط</v>
      </c>
      <c r="AD42" s="14" t="inlineStr">
        <is>
          <t xml:space="preserve">مرتبط بـR-015 وR-009 وإجراء إدارة التغيير.</t>
        </is>
      </c>
    </row>
    <row r="43" spans="2:41" x14ac:dyDescent="0.25">
      <c r="B43" s="14" t="inlineStr">
        <is>
          <t xml:space="preserve">R-030</t>
        </is>
      </c>
      <c r="C43" s="14" t="inlineStr">
        <is>
          <t xml:space="preserve">الأصول البشرية</t>
        </is>
      </c>
      <c r="D43" s="14" t="inlineStr">
        <is>
          <t xml:space="preserve">الكوادر البشرية وفرق أمن المعلومات وتقنية المعلومات</t>
        </is>
      </c>
      <c r="E43" s="14" t="inlineStr">
        <is>
          <t xml:space="preserve">فقدان المعرفة المؤسسية أو نقص الكوادر الأمنية المتخصصة نتيجة دوران الموظفين (12% سنوياً في تقنية المعلومات) أو غياب موظف رئيسي</t>
        </is>
      </c>
      <c r="F43" s="14" t="inlineStr">
        <is>
          <t xml:space="preserve">اعتماد بعض العمليات على أفراد محددين دون توثيق كافٍ، وعدم وجود خطط تعاقب وظيفي للأدوار الأمنية الحرجة</t>
        </is>
      </c>
      <c r="G43" s="14" t="inlineStr">
        <is>
          <t xml:space="preserve">توافر (A)</t>
        </is>
      </c>
      <c r="H43" s="14" t="inlineStr">
        <is>
          <t xml:space="preserve">مدير إدارة الموارد البشرية</t>
        </is>
      </c>
      <c r="I43" s="14" t="inlineStr">
        <is>
          <t xml:space="preserve">توثيق جزئي للإجراءات، وفرق متعددة في SOC بنظام المناوبات، واتفاقيات سرية، وبرامج تدريب</t>
        </is>
      </c>
      <c r="J43" s="14">
        <v>3</v>
      </c>
      <c r="K43" s="14" t="inlineStr">
        <is>
          <t xml:space="preserve">معدل الدوران 12% سنوياً في تقنية المعلومات، وبعض الأدوار الحرجة (مثل إدارة قواعد البيانات الرئيسية) يشغلها عدد محدود من الأشخاص.</t>
        </is>
      </c>
      <c r="L43" s="14">
        <v>3</v>
      </c>
      <c r="M43" s="14" t="inlineStr">
        <is>
          <t xml:space="preserve">تأخر تنفيذ الضوابط والمشاريع الأمنية وضعف جودة التشغيل بخسائر 1 إلى 5 ملايين ريال وأثر على أهداف ISMS.</t>
        </is>
      </c>
      <c r="N43" s="12">
        <f>IFERROR(RiskAssessment[[#This Row],[الاحتمالية]]*RiskAssessment[[#This Row],[التأثير]],"غير محسوب")</f>
        <v>9</v>
      </c>
      <c r="O43" s="12">
        <f>IF(N43="غير محسوب","غير محسوب",IF(N43&gt;=16,"حرج",IF(N43&gt;=11,"مرتفع",IF(N43&gt;=5,"متوسط","منخفض"))))</f>
        <v>متوسط</v>
      </c>
      <c r="P43" s="14" t="inlineStr">
        <is>
          <t xml:space="preserve">التخفيف</t>
        </is>
      </c>
      <c r="Q43" s="14" t="inlineStr">
        <is>
          <t xml:space="preserve">1) توثيق جميع إجراءات التشغيل الحرجة ضمن SOP وإتاحتها في مكتبة ISMS. 2) خطة تعاقب وظيفي للأدوار الأمنية الحرجة وتحديد بديل لكل دور. 3) برنامج تدريب وشهادات مهنية (ISO 27001 Lead Implementer، CISSP) للموظفين. 4) مراجعة سنوية لحمل العمل وتوزيع المهام.</t>
        </is>
      </c>
      <c r="R43" s="14" t="inlineStr">
        <is>
          <t xml:space="preserve">A.5.4، A.6.3، A.5.2، A.5.37</t>
        </is>
      </c>
      <c r="S43" s="100">
        <v>400000</v>
      </c>
      <c r="T43" s="14" t="inlineStr">
        <is>
          <t xml:space="preserve">مدير إدارة الموارد البشرية</t>
        </is>
      </c>
      <c r="U43" s="14" t="inlineStr">
        <is>
          <t xml:space="preserve">2027-03-31</t>
        </is>
      </c>
      <c r="V43" s="14">
        <v>0.35</v>
      </c>
      <c r="W43" s="14" t="inlineStr">
        <is>
          <t xml:space="preserve">قيد التنفيذ</t>
        </is>
      </c>
      <c r="X43" s="14">
        <v>2</v>
      </c>
      <c r="Y43" s="14" t="inlineStr">
        <is>
          <t xml:space="preserve">التوثيق وخطط التعاقب والتدريب تجعل أثر فقدان فرد محدوداً ونادر التحول إلى أزمة.</t>
        </is>
      </c>
      <c r="Z43" s="14">
        <v>3</v>
      </c>
      <c r="AA43" s="14" t="inlineStr">
        <is>
          <t xml:space="preserve">يبقى أثر فقد خبير في نظام حرج متوسطاً حتى استكمال نقل المعرفة.</t>
        </is>
      </c>
      <c r="AB43" s="12">
        <f>IFERROR(RiskAssessment[[#This Row],[الاحتمالية بعد المعالجة]]*RiskAssessment[[#This Row],[التأثير بعد المعالجة]],"غير محسوب")</f>
        <v>6</v>
      </c>
      <c r="AC43" s="12">
        <f>IF(AB43="غير محسوب","غير محسوب",IF(AB43&gt;=16,"حرج",IF(AB43&gt;=11,"مرتفع",IF(AB43&gt;=5,"متوسط","منخفض"))))</f>
        <v>متوسط</v>
      </c>
      <c r="AD43" s="14" t="inlineStr">
        <is>
          <t xml:space="preserve">مرتبط بضوابط الموارد البشرية A.6.x وبأهداف ISMS الخاصة بالتدريب والتوعية.</t>
        </is>
      </c>
    </row>
    <row r="44" spans="2:41" x14ac:dyDescent="0.25">
      <c r="B44" s="14" t="inlineStr">
        <is>
          <t xml:space="preserve">R-031</t>
        </is>
      </c>
      <c r="C44" s="14" t="inlineStr">
        <is>
          <t xml:space="preserve">البنية التحتية والأجهزة</t>
        </is>
      </c>
      <c r="D44" s="14" t="inlineStr">
        <is>
          <t xml:space="preserve">وسائط النسخ الاحتياطي (الأشرطة) أثناء النقل إلى الموقع الخارجي في جدة</t>
        </is>
      </c>
      <c r="E44" s="14" t="inlineStr">
        <is>
          <t xml:space="preserve">تلف أو فقدان وسائط النسخ الاحتياطي أثناء نقلها من مركز البيانات الرئيسي إلى الموقع الخارجي</t>
        </is>
      </c>
      <c r="F44" s="14" t="inlineStr">
        <is>
          <t xml:space="preserve">نقل الأشرطة أسبوعياً عبر مورد خدمات دون تتبع آلي للشحنات أو صناديق مقاومة للحريق والماء</t>
        </is>
      </c>
      <c r="G44" s="14" t="inlineStr">
        <is>
          <t xml:space="preserve">سرية وتوافر (CA)</t>
        </is>
      </c>
      <c r="H44" s="14" t="inlineStr">
        <is>
          <t xml:space="preserve">مدير قسم البنية التحتية والشبكات</t>
        </is>
      </c>
      <c r="I44" s="14" t="inlineStr">
        <is>
          <t xml:space="preserve">صناديق نقل مؤمنة، وتوثيق يدوي لحركة الأشرطة، وعقد مع شركة خدمات النقل، وتشفير محتوى النسخ</t>
        </is>
      </c>
      <c r="J44" s="14">
        <v>1</v>
      </c>
      <c r="K44" s="14" t="inlineStr">
        <is>
          <t xml:space="preserve">لم تُسجل أي حالة تلف أو فقدان سابقة، والنقل يتم ضمن مسار داخلي (الرياض - جدة) بإجراءات موثقة وتشفير للمحتوى.</t>
        </is>
      </c>
      <c r="L44" s="14">
        <v>4</v>
      </c>
      <c r="M44" s="14" t="inlineStr">
        <is>
          <t xml:space="preserve">فقدان مجموعة نسخ تاريخية يؤثر على قدرة الاستعادة لنقطة زمنية محددة بخسائر 5 إلى 25 مليون ريال في أسوأ الحالات.</t>
        </is>
      </c>
      <c r="N44" s="12">
        <f>IFERROR(RiskAssessment[[#This Row],[الاحتمالية]]*RiskAssessment[[#This Row],[التأثير]],"غير محسوب")</f>
        <v>4</v>
      </c>
      <c r="O44" s="12">
        <f>IF(N44="غير محسوب","غير محسوب",IF(N44&gt;=16,"حرج",IF(N44&gt;=11,"مرتفع",IF(N44&gt;=5,"متوسط","منخفض"))))</f>
        <v>منخفض</v>
      </c>
      <c r="P44" s="14" t="inlineStr">
        <is>
          <t xml:space="preserve">القبول</t>
        </is>
      </c>
      <c r="Q44" s="14" t="inlineStr">
        <is>
          <t xml:space="preserve">قبول الخطر ضمن حدود شهية المخاطر المعتمدة (درجة 4 = منخفض) دون استثمار إضافي، مع الإبقاء على الضوابط القائمة: تشفير محتوى النسخ الاحتياطية، وصناديق نقل مؤمنة وموثقة الحركة، وعقد نقل مع شركة خدمات معتمدة، وجدول نسخ يومي. ويُنفَّذ إجراء رقابي واحد منخفض التكلفة هو التحقق من قابلية قراءة عينة من الأشرطة شهرياً.</t>
        </is>
      </c>
      <c r="R44" s="14" t="inlineStr">
        <is>
          <t xml:space="preserve">A.7.10، A.7.14، A.8.13، A.5.14</t>
        </is>
      </c>
      <c r="S44" s="100">
        <v>0</v>
      </c>
      <c r="T44" s="14" t="inlineStr">
        <is>
          <t xml:space="preserve">مدير قسم البنية التحتية والشبكات</t>
        </is>
      </c>
      <c r="U44" s="14" t="inlineStr">
        <is>
          <t xml:space="preserve">2027-04-30</t>
        </is>
      </c>
      <c r="V44" s="14">
        <v>1.0</v>
      </c>
      <c r="W44" s="14" t="inlineStr">
        <is>
          <t xml:space="preserve">مكتمل</t>
        </is>
      </c>
      <c r="X44" s="14">
        <v>1</v>
      </c>
      <c r="Y44" s="14" t="inlineStr">
        <is>
          <t xml:space="preserve">لا تغيير في الاحتمالية لعدم تنفيذ معالجة إضافية (خيار القبول)، مع بقاء التحقق الشهري من قراءة الأشرطة.</t>
        </is>
      </c>
      <c r="Z44" s="14">
        <v>4</v>
      </c>
      <c r="AA44" s="14" t="inlineStr">
        <is>
          <t xml:space="preserve">لا تغيير في الأثر؛ يبقى أثر فقد مجموعة نسخ تاريخية كبيراً وإن كانت احتماليته نادرة جداً.</t>
        </is>
      </c>
      <c r="AB44" s="12">
        <f>IFERROR(RiskAssessment[[#This Row],[الاحتمالية بعد المعالجة]]*RiskAssessment[[#This Row],[التأثير بعد المعالجة]],"غير محسوب")</f>
        <v>4</v>
      </c>
      <c r="AC44" s="12">
        <f>IF(AB44="غير محسوب","غير محسوب",IF(AB44&gt;=16,"حرج",IF(AB44&gt;=11,"مرتفع",IF(AB44&gt;=5,"متوسط","منخفض"))))</f>
        <v>منخفض</v>
      </c>
      <c r="AD44" s="14" t="inlineStr">
        <is>
          <t xml:space="preserve">خطر منخفض (4) مقبول من مالك الخطر ومصدق من لجنة المخاطر بتاريخ 2026-04-12؛ يُراجع القبول سنوياً ضمن مراجعة الإدارة.</t>
        </is>
      </c>
    </row>
    <row r="45" spans="2:41" x14ac:dyDescent="0.25">
      <c r="B45" s="14" t="inlineStr">
        <is>
          <t xml:space="preserve">R-032</t>
        </is>
      </c>
      <c r="C45" s="14" t="inlineStr">
        <is>
          <t xml:space="preserve">الموردون والخدمات الخارجية</t>
        </is>
      </c>
      <c r="D45" s="14" t="inlineStr">
        <is>
          <t xml:space="preserve">الأنظمة غير الحرجة المستضافة على AWS وبيانات مستودع البيانات التحليلية</t>
        </is>
      </c>
      <c r="E45" s="14" t="inlineStr">
        <is>
          <t xml:space="preserve">انقطاع أو تدهور أداء الأنظمة غير الحرجة المستضافة سحابياً بما يعطل التقارير التحليلية وبيئات التطوير</t>
        </is>
      </c>
      <c r="F45" s="14" t="inlineStr">
        <is>
          <t xml:space="preserve">اعتماد بعض التقارير التشغيلية على موارد سحابية دون خطة تشغيل بديلة موثقة</t>
        </is>
      </c>
      <c r="G45" s="14" t="inlineStr">
        <is>
          <t xml:space="preserve">توافر (A)</t>
        </is>
      </c>
      <c r="H45" s="14" t="inlineStr">
        <is>
          <t xml:space="preserve">مدير إدارة تقنية المعلومات</t>
        </is>
      </c>
      <c r="I45" s="14" t="inlineStr">
        <is>
          <t xml:space="preserve">اتفاقية مستوى خدمة مع AWS، ونسخ احتياطي لبعض الموارد، ومراقبة توفر يدوية</t>
        </is>
      </c>
      <c r="J45" s="14">
        <v>2</v>
      </c>
      <c r="K45" s="14" t="inlineStr">
        <is>
          <t xml:space="preserve">AWS توفر مستويات توفر عالية، والأنظمة المستضافة غير حرجة ولا تؤثر مباشرة على الخدمات المصرفية.</t>
        </is>
      </c>
      <c r="L45" s="14">
        <v>2</v>
      </c>
      <c r="M45" s="14" t="inlineStr">
        <is>
          <t xml:space="preserve">تأخر تقارير إدارية وبيئات تطوير لمدة محدودة بخسائر أقل من مليون ريال وأثر تشغيلي طفيف.</t>
        </is>
      </c>
      <c r="N45" s="12">
        <f>IFERROR(RiskAssessment[[#This Row],[الاحتمالية]]*RiskAssessment[[#This Row],[التأثير]],"غير محسوب")</f>
        <v>4</v>
      </c>
      <c r="O45" s="12">
        <f>IF(N45="غير محسوب","غير محسوب",IF(N45&gt;=16,"حرج",IF(N45&gt;=11,"مرتفع",IF(N45&gt;=5,"متوسط","منخفض"))))</f>
        <v>منخفض</v>
      </c>
      <c r="P45" s="14" t="inlineStr">
        <is>
          <t xml:space="preserve">القبول</t>
        </is>
      </c>
      <c r="Q45" s="14" t="inlineStr">
        <is>
          <t xml:space="preserve">قبول الخطر ضمن حدود شهية المخاطر المعتمدة مع: 1) مراقبة توفر الموارد شهرياً. 2) توثيق إجراء تشغيل يدوي بديل للتقارير الحرجة. 3) مراجعة قبول الخطر سنوياً من مالك الخطر.</t>
        </is>
      </c>
      <c r="R45" s="14" t="inlineStr">
        <is>
          <t xml:space="preserve">A.5.23، A.8.6، A.5.9</t>
        </is>
      </c>
      <c r="S45" s="100">
        <v>0</v>
      </c>
      <c r="T45" s="14" t="inlineStr">
        <is>
          <t xml:space="preserve">مدير إدارة تقنية المعلومات</t>
        </is>
      </c>
      <c r="U45" s="14" t="inlineStr">
        <is>
          <t xml:space="preserve">2027-04-30</t>
        </is>
      </c>
      <c r="V45" s="14">
        <v>1.0</v>
      </c>
      <c r="W45" s="14" t="inlineStr">
        <is>
          <t xml:space="preserve">مكتمل</t>
        </is>
      </c>
      <c r="X45" s="14">
        <v>2</v>
      </c>
      <c r="Y45" s="14" t="inlineStr">
        <is>
          <t xml:space="preserve">لا تغيير في الاحتمالية لعدم تنفيذ معالجة تقنية إضافية (خيار القبول).</t>
        </is>
      </c>
      <c r="Z45" s="14">
        <v>1</v>
      </c>
      <c r="AA45" s="14" t="inlineStr">
        <is>
          <t xml:space="preserve">الأثر محدود جداً لطبيعة الأنظمة غير الحرجة ووجود إجراء تشغيل بديل.</t>
        </is>
      </c>
      <c r="AB45" s="12">
        <f>IFERROR(RiskAssessment[[#This Row],[الاحتمالية بعد المعالجة]]*RiskAssessment[[#This Row],[التأثير بعد المعالجة]],"غير محسوب")</f>
        <v>2</v>
      </c>
      <c r="AC45" s="12">
        <f>IF(AB45="غير محسوب","غير محسوب",IF(AB45&gt;=16,"حرج",IF(AB45&gt;=11,"مرتفع",IF(AB45&gt;=5,"متوسط","منخفض"))))</f>
        <v>منخفض</v>
      </c>
      <c r="AD45" s="14" t="inlineStr">
        <is>
          <t xml:space="preserve">مثال على خيار القبول الموثق ضمن حدود الشهية؛ يُراجع سنوياً في مراجعة الإدارة.</t>
        </is>
      </c>
    </row>
  </sheetData>
  <sheetProtection selectLockedCells="1" autoFilter="0"/>
  <mergeCells count="4">
    <mergeCell ref="B12:H12"/>
    <mergeCell ref="I12:O12"/>
    <mergeCell ref="P12:W12"/>
    <mergeCell ref="X12:AD12"/>
  </mergeCells>
  <conditionalFormatting sqref="O14:O45 AC14:AC45">
    <cfRule type="cellIs" dxfId="159" priority="45" operator="equal">
      <formula>"حرج"</formula>
    </cfRule>
    <cfRule type="cellIs" dxfId="159" priority="46" operator="equal">
      <formula>"مرتفع"</formula>
    </cfRule>
    <cfRule type="cellIs" dxfId="158" priority="47" operator="equal">
      <formula>"متوسط"</formula>
    </cfRule>
    <cfRule type="cellIs" dxfId="157" priority="48" operator="equal">
      <formula>"منخفض"</formula>
    </cfRule>
  </conditionalFormatting>
  <conditionalFormatting sqref="Q14:AB45">
    <cfRule type="expression" dxfId="156" priority="8">
      <formula>$P14="القبول"</formula>
    </cfRule>
  </conditionalFormatting>
  <pageMargins left="0.70866141732283472" right="0.70866141732283472" top="0.74803149606299213" bottom="0.74803149606299213" header="0.31496062992125984" footer="0.31496062992125984"/>
  <pageSetup paperSize="9" scale="25" fitToHeight="0" orientation="landscape" horizontalDpi="360" verticalDpi="360" r:id="rId1"/>
  <headerFooter>
    <oddFooter>&amp;L&amp;D&amp;Cالصفحة &amp;P من &amp;N&amp;Rسري - استخدام داخلي</oddFooter>
  </headerFooter>
  <colBreaks count="2" manualBreakCount="2">
    <brk id="15" max="1048575" man="1"/>
    <brk id="23" max="1048575" man="1"/>
  </colBreaks>
  <drawing r:id="rId2"/>
  <legacyDrawing r:id="rId3"/>
  <tableParts count="1">
    <tablePart r:id="rId4"/>
  </tableParts>
  <extLst>
    <ext uri="{CCE6A557-97BC-4b89-ADB6-D9C93CAAB3DF}">
      <x14:dataValidations count="4">
        <x14:dataValidation type="list" allowBlank="1" showInputMessage="1" showErrorMessage="1" xr:uid="{90F55BBA-50DB-46BC-A873-B32D17F560EC}">
          <x14:formula1>
            <xm:f>'Selection Tables'!$B$16:$B$23</xm:f>
          </x14:formula1>
          <xm:sqref>G14:G33</xm:sqref>
        </x14:dataValidation>
        <x14:dataValidation type="list" allowBlank="1" showInputMessage="1" showErrorMessage="1" xr:uid="{AA71F27B-BEEA-44C0-9EFD-D27E865F40A9}">
          <x14:formula1>
            <xm:f>'Selection Tables'!$B$7:$B$12</xm:f>
          </x14:formula1>
          <xm:sqref>L14:L33 J14:J33 X14:X33 Z14:Z33</xm:sqref>
        </x14:dataValidation>
        <x14:dataValidation type="list" allowBlank="1" showInputMessage="1" showErrorMessage="1" promptTitle="If Choosing Accept" prompt="If choosing to Accept the risk, please ensure that the post-treatment likelihood and impact are set to pre-treatment values." xr:uid="{9360A65B-F868-4364-A0FC-AEB79C1623C4}">
          <x14:formula1>
            <xm:f>'Selection Tables'!$E$7:$E$11</xm:f>
          </x14:formula1>
          <xm:sqref>P14:P33</xm:sqref>
        </x14:dataValidation>
        <x14:dataValidation type="list" allowBlank="1" showInputMessage="1" showErrorMessage="1" xr:uid="{C7CE1ACB-5AD7-46D5-8264-7DB95B01EF21}">
          <x14:formula1>
            <xm:f>'Selection Tables'!$E$16:$E$20</xm:f>
          </x14:formula1>
          <xm:sqref>W14:W33</xm:sqref>
        </x14:dataValidation>
      </x14:dataValidations>
    </ext>
    <ext uri="{3A4CF648-6AED-40f4-86FF-DC5316D8AED3}">
      <x14:slicerList>
        <x14:slicer r:id="rId5"/>
      </x14:slicerList>
    </ext>
  </extLst>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0FBC7-2B96-4ADE-AC5A-339294D04541}">
  <sheetPr codeName="Sheet4">
    <pageSetUpPr fitToPage="1"/>
  </sheetPr>
  <dimension ref="B8:AI72"/>
  <sheetViews>
    <sheetView showGridLines="0" zoomScaleNormal="100" workbookViewId="0"/>
  </sheetViews>
  <sheetFormatPr defaultRowHeight="15" x14ac:dyDescent="0.25"/>
  <cols>
    <col min="1" max="1" width="2.85546875" customWidth="1"/>
    <col min="2" max="2" width="7.7109375" customWidth="1"/>
    <col min="3" max="8" width="13.7109375" customWidth="1"/>
    <col min="9" max="11" width="8.7109375" customWidth="1"/>
    <col min="12" max="12" width="7.7109375" customWidth="1"/>
    <col min="13" max="26" width="8.7109375" customWidth="1"/>
  </cols>
  <sheetData>
    <row r="8" spans="2:35" ht="21" x14ac:dyDescent="0.35">
      <c r="B8" s="27" t="inlineStr">
        <is>
          <t xml:space="preserve">لوحة مؤشرات أداة تقييم ومعالجة المخاطر القائمة على الأصول - ISO/IEC 27001:2022 - بنك الآفاق الرقمية</t>
        </is>
      </c>
      <c r="AA8" s="44"/>
      <c r="AB8" s="44"/>
      <c r="AC8" s="44"/>
      <c r="AD8" s="44"/>
      <c r="AE8" s="44"/>
      <c r="AF8" s="44"/>
      <c r="AG8" s="44"/>
      <c r="AH8" s="44"/>
      <c r="AI8" s="44"/>
    </row>
    <row r="9" spans="2:35" ht="15" customHeight="1" x14ac:dyDescent="0.25">
      <c r="B9" s="9" t="inlineStr">
        <is>
          <t xml:space="preserve">لتحديث بيانات الرسوم البيانية، انقر على «تحديث الكل» (Refresh All) من علامة التبويب «البيانات».</t>
        </is>
      </c>
    </row>
    <row r="11" spans="2:35" ht="20.100000000000001" customHeight="1" x14ac:dyDescent="0.3">
      <c r="B11" s="45" t="inlineStr">
        <is>
          <t xml:space="preserve">التقييم قبل المعالجة</t>
        </is>
      </c>
      <c r="C11" s="46"/>
      <c r="D11" s="46"/>
      <c r="E11" s="46"/>
      <c r="F11" s="46"/>
      <c r="G11" s="46"/>
      <c r="H11" s="46"/>
      <c r="I11" s="47"/>
      <c r="J11" s="47"/>
      <c r="K11" s="47"/>
      <c r="L11" s="47"/>
      <c r="M11" s="46"/>
      <c r="N11" s="46"/>
      <c r="O11" s="46"/>
      <c r="P11" s="46"/>
      <c r="Q11" s="46"/>
      <c r="R11" s="46"/>
      <c r="S11" s="46"/>
      <c r="T11" s="46"/>
      <c r="U11" s="46"/>
      <c r="V11" s="46"/>
      <c r="W11" s="46"/>
      <c r="X11" s="46"/>
      <c r="Y11" s="46"/>
      <c r="Z11" s="46"/>
      <c r="AE11" s="44"/>
      <c r="AF11" s="44"/>
      <c r="AG11" s="44"/>
      <c r="AH11" s="44"/>
      <c r="AI11" s="44"/>
    </row>
    <row r="12" spans="2:35" ht="15" customHeight="1" x14ac:dyDescent="0.25">
      <c r="I12" s="2"/>
      <c r="J12" s="2"/>
      <c r="K12" s="2"/>
      <c r="L12" s="2"/>
      <c r="M12" s="3"/>
      <c r="N12" s="3"/>
      <c r="O12" s="3"/>
    </row>
    <row r="13" spans="2:35" ht="15" customHeight="1" x14ac:dyDescent="0.25">
      <c r="I13" s="2"/>
      <c r="J13" s="2"/>
      <c r="K13" s="2"/>
      <c r="L13" s="2"/>
    </row>
    <row r="14" spans="2:35" ht="15" customHeight="1" x14ac:dyDescent="0.25">
      <c r="I14" s="2"/>
      <c r="J14" s="2"/>
      <c r="K14" s="2"/>
      <c r="L14" s="2"/>
    </row>
    <row r="15" spans="2:35" ht="15" customHeight="1" x14ac:dyDescent="0.25">
      <c r="I15" s="2"/>
      <c r="J15" s="2"/>
      <c r="K15" s="2"/>
      <c r="L15" s="2"/>
    </row>
    <row r="16" spans="2:35" ht="15" customHeight="1" x14ac:dyDescent="0.25">
      <c r="I16" s="2"/>
      <c r="J16" s="2"/>
      <c r="K16" s="2"/>
      <c r="L16" s="2"/>
    </row>
    <row r="17" spans="9:12" ht="15" customHeight="1" x14ac:dyDescent="0.25">
      <c r="I17" s="2"/>
      <c r="J17" s="2"/>
      <c r="K17" s="2"/>
      <c r="L17" s="2"/>
    </row>
    <row r="18" spans="9:12" ht="15" customHeight="1" x14ac:dyDescent="0.25">
      <c r="I18" s="2"/>
      <c r="J18" s="2"/>
      <c r="K18" s="2"/>
      <c r="L18" s="2"/>
    </row>
    <row r="19" spans="9:12" ht="15" customHeight="1" x14ac:dyDescent="0.25">
      <c r="I19" s="2"/>
      <c r="J19" s="2"/>
      <c r="K19" s="2"/>
      <c r="L19" s="2"/>
    </row>
    <row r="20" spans="9:12" ht="15" customHeight="1" x14ac:dyDescent="0.25">
      <c r="I20" s="2"/>
      <c r="J20" s="2"/>
      <c r="K20" s="2"/>
      <c r="L20" s="2"/>
    </row>
    <row r="21" spans="9:12" ht="15" customHeight="1" x14ac:dyDescent="0.25">
      <c r="I21" s="2"/>
      <c r="J21" s="2"/>
      <c r="K21" s="2"/>
      <c r="L21" s="2"/>
    </row>
    <row r="22" spans="9:12" ht="15" customHeight="1" x14ac:dyDescent="0.25">
      <c r="I22" s="2"/>
      <c r="J22" s="2"/>
      <c r="K22" s="2"/>
      <c r="L22" s="2"/>
    </row>
    <row r="23" spans="9:12" ht="15" customHeight="1" x14ac:dyDescent="0.25">
      <c r="I23" s="2"/>
      <c r="J23" s="2"/>
      <c r="K23" s="2"/>
      <c r="L23" s="2"/>
    </row>
    <row r="24" spans="9:12" ht="15" customHeight="1" x14ac:dyDescent="0.25">
      <c r="I24" s="2"/>
      <c r="J24" s="2"/>
      <c r="K24" s="2"/>
      <c r="L24" s="2"/>
    </row>
    <row r="25" spans="9:12" ht="15" customHeight="1" x14ac:dyDescent="0.25">
      <c r="I25" s="2"/>
      <c r="J25" s="2"/>
      <c r="K25" s="2"/>
      <c r="L25" s="2"/>
    </row>
    <row r="26" spans="9:12" ht="15" customHeight="1" x14ac:dyDescent="0.25">
      <c r="I26" s="2"/>
      <c r="J26" s="2"/>
      <c r="K26" s="2"/>
      <c r="L26" s="2"/>
    </row>
    <row r="27" spans="9:12" ht="15" customHeight="1" x14ac:dyDescent="0.25">
      <c r="I27" s="2"/>
      <c r="J27" s="2"/>
      <c r="K27" s="2"/>
      <c r="L27" s="2"/>
    </row>
    <row r="28" spans="9:12" ht="15" customHeight="1" x14ac:dyDescent="0.25">
      <c r="I28" s="2"/>
      <c r="J28" s="2"/>
      <c r="K28" s="2"/>
      <c r="L28" s="2"/>
    </row>
    <row r="29" spans="9:12" ht="15" customHeight="1" x14ac:dyDescent="0.25">
      <c r="I29" s="2"/>
      <c r="J29" s="2"/>
      <c r="K29" s="2"/>
      <c r="L29" s="2"/>
    </row>
    <row r="30" spans="9:12" ht="15" customHeight="1" x14ac:dyDescent="0.25">
      <c r="I30" s="2"/>
      <c r="J30" s="2"/>
      <c r="K30" s="2"/>
      <c r="L30" s="2"/>
    </row>
    <row r="31" spans="9:12" ht="15" customHeight="1" x14ac:dyDescent="0.25">
      <c r="I31" s="2"/>
      <c r="J31" s="2"/>
      <c r="K31" s="2"/>
      <c r="L31" s="2"/>
    </row>
    <row r="32" spans="9:12" ht="15" customHeight="1" x14ac:dyDescent="0.25">
      <c r="I32" s="2"/>
      <c r="J32" s="2"/>
      <c r="K32" s="2"/>
      <c r="L32" s="2"/>
    </row>
    <row r="33" spans="2:26" ht="15" customHeight="1" x14ac:dyDescent="0.25">
      <c r="I33" s="2"/>
      <c r="J33" s="2"/>
      <c r="K33" s="2"/>
      <c r="L33" s="2"/>
    </row>
    <row r="34" spans="2:26" ht="18.75" x14ac:dyDescent="0.3">
      <c r="B34" s="45" t="inlineStr">
        <is>
          <t xml:space="preserve">التقييم بعد المعالجة</t>
        </is>
      </c>
      <c r="C34" s="46"/>
      <c r="D34" s="46"/>
      <c r="E34" s="43"/>
      <c r="F34" s="43"/>
      <c r="G34" s="43"/>
      <c r="H34" s="43"/>
      <c r="I34" s="43"/>
      <c r="J34" s="43"/>
      <c r="K34" s="43"/>
      <c r="L34" s="43"/>
      <c r="M34" s="43"/>
      <c r="N34" s="43"/>
      <c r="O34" s="46"/>
      <c r="P34" s="46"/>
      <c r="Q34" s="46"/>
      <c r="R34" s="46"/>
      <c r="S34" s="46"/>
      <c r="T34" s="46"/>
      <c r="U34" s="46"/>
      <c r="V34" s="46"/>
      <c r="W34" s="46"/>
      <c r="X34" s="46"/>
      <c r="Y34" s="46"/>
      <c r="Z34" s="46"/>
    </row>
    <row r="35" spans="2:26" ht="15" customHeight="1" x14ac:dyDescent="0.25">
      <c r="I35" s="2"/>
      <c r="J35" s="2"/>
      <c r="K35" s="2"/>
      <c r="L35" s="2"/>
    </row>
    <row r="36" spans="2:26" ht="15" customHeight="1" x14ac:dyDescent="0.25">
      <c r="I36" s="2"/>
      <c r="J36" s="2"/>
      <c r="K36" s="2"/>
      <c r="L36" s="2"/>
    </row>
    <row r="37" spans="2:26" ht="15" customHeight="1" x14ac:dyDescent="0.25">
      <c r="I37" s="2"/>
      <c r="J37" s="2"/>
      <c r="K37" s="2"/>
      <c r="L37" s="2"/>
    </row>
    <row r="38" spans="2:26" ht="15" customHeight="1" x14ac:dyDescent="0.25">
      <c r="I38" s="2"/>
      <c r="J38" s="2"/>
      <c r="K38" s="2"/>
      <c r="L38" s="2"/>
    </row>
    <row r="39" spans="2:26" ht="15" customHeight="1" x14ac:dyDescent="0.25">
      <c r="I39" s="2"/>
      <c r="J39" s="2"/>
      <c r="K39" s="2"/>
      <c r="L39" s="2"/>
    </row>
    <row r="40" spans="2:26" ht="15" customHeight="1" x14ac:dyDescent="0.25">
      <c r="I40" s="2"/>
      <c r="J40" s="2"/>
      <c r="K40" s="2"/>
      <c r="L40" s="2"/>
    </row>
    <row r="41" spans="2:26" ht="15" customHeight="1" x14ac:dyDescent="0.25">
      <c r="I41" s="2"/>
      <c r="J41" s="2"/>
      <c r="K41" s="2"/>
      <c r="L41" s="2"/>
    </row>
    <row r="42" spans="2:26" ht="15" customHeight="1" x14ac:dyDescent="0.25">
      <c r="I42" s="2"/>
      <c r="J42" s="2"/>
      <c r="K42" s="2"/>
      <c r="L42" s="2"/>
    </row>
    <row r="43" spans="2:26" ht="15" customHeight="1" x14ac:dyDescent="0.25">
      <c r="I43" s="2"/>
      <c r="J43" s="2"/>
      <c r="K43" s="2"/>
      <c r="L43" s="2"/>
    </row>
    <row r="44" spans="2:26" ht="15" customHeight="1" x14ac:dyDescent="0.25">
      <c r="I44" s="2"/>
      <c r="J44" s="2"/>
      <c r="K44" s="2"/>
      <c r="L44" s="2"/>
    </row>
    <row r="45" spans="2:26" ht="15" customHeight="1" x14ac:dyDescent="0.25">
      <c r="I45" s="2"/>
      <c r="J45" s="2"/>
      <c r="K45" s="2"/>
      <c r="L45" s="2"/>
    </row>
    <row r="46" spans="2:26" ht="15" customHeight="1" x14ac:dyDescent="0.25">
      <c r="I46" s="2"/>
      <c r="J46" s="2"/>
      <c r="K46" s="2"/>
      <c r="L46" s="2"/>
    </row>
    <row r="47" spans="2:26" ht="15" customHeight="1" x14ac:dyDescent="0.25">
      <c r="I47" s="2"/>
      <c r="J47" s="2"/>
      <c r="K47" s="2"/>
      <c r="L47" s="2"/>
    </row>
    <row r="48" spans="2:26" ht="15" customHeight="1" x14ac:dyDescent="0.25">
      <c r="I48" s="2"/>
      <c r="J48" s="2"/>
      <c r="K48" s="2"/>
      <c r="L48" s="2"/>
    </row>
    <row r="49" spans="2:26" ht="15" customHeight="1" x14ac:dyDescent="0.25">
      <c r="I49" s="2"/>
      <c r="J49" s="2"/>
      <c r="K49" s="2"/>
      <c r="L49" s="2"/>
    </row>
    <row r="50" spans="2:26" ht="15" customHeight="1" x14ac:dyDescent="0.25">
      <c r="I50" s="2"/>
      <c r="J50" s="2"/>
      <c r="K50" s="2"/>
      <c r="L50" s="2"/>
    </row>
    <row r="51" spans="2:26" ht="15" customHeight="1" x14ac:dyDescent="0.25">
      <c r="I51" s="2"/>
      <c r="J51" s="2"/>
      <c r="K51" s="2"/>
      <c r="L51" s="2"/>
    </row>
    <row r="52" spans="2:26" ht="15" customHeight="1" x14ac:dyDescent="0.25">
      <c r="I52" s="2"/>
      <c r="J52" s="2"/>
      <c r="K52" s="2"/>
      <c r="L52" s="2"/>
    </row>
    <row r="53" spans="2:26" ht="15" customHeight="1" x14ac:dyDescent="0.25">
      <c r="I53" s="2"/>
      <c r="J53" s="2"/>
      <c r="K53" s="2"/>
      <c r="L53" s="2"/>
    </row>
    <row r="54" spans="2:26" ht="15" customHeight="1" x14ac:dyDescent="0.25">
      <c r="I54" s="2"/>
      <c r="J54" s="2"/>
      <c r="K54" s="2"/>
      <c r="L54" s="2"/>
    </row>
    <row r="55" spans="2:26" ht="15" customHeight="1" x14ac:dyDescent="0.25">
      <c r="B55" s="48"/>
      <c r="I55" s="2"/>
      <c r="J55" s="2"/>
      <c r="K55" s="2"/>
      <c r="L55" s="2"/>
    </row>
    <row r="57" spans="2:26" ht="18.75" x14ac:dyDescent="0.3">
      <c r="B57" s="49" t="inlineStr">
        <is>
          <t xml:space="preserve">تصنيف مستوى الخطر</t>
        </is>
      </c>
      <c r="C57" s="43"/>
      <c r="D57" s="43"/>
      <c r="E57" s="43"/>
      <c r="F57" s="43"/>
      <c r="G57" s="43"/>
      <c r="H57" s="43"/>
      <c r="I57" s="46"/>
      <c r="J57" s="46"/>
      <c r="K57" s="46"/>
      <c r="M57" s="45" t="inlineStr">
        <is>
          <t xml:space="preserve">مخطط توزيع المخاطر</t>
        </is>
      </c>
      <c r="N57" s="43"/>
      <c r="O57" s="43"/>
      <c r="P57" s="43"/>
      <c r="Q57" s="43"/>
      <c r="R57" s="43"/>
      <c r="S57" s="43"/>
      <c r="T57" s="43"/>
      <c r="U57" s="43"/>
      <c r="V57" s="43"/>
      <c r="W57" s="43"/>
      <c r="X57" s="43"/>
      <c r="Y57" s="43"/>
      <c r="Z57" s="43"/>
    </row>
    <row r="58" spans="2:26" ht="18.75" x14ac:dyDescent="0.25">
      <c r="B58" s="50"/>
      <c r="C58" s="44"/>
      <c r="D58" s="44"/>
      <c r="E58" s="44"/>
      <c r="F58" s="44"/>
      <c r="G58" s="44"/>
      <c r="H58" s="44"/>
    </row>
    <row r="59" spans="2:26" x14ac:dyDescent="0.25">
      <c r="B59" s="11" t="inlineStr">
        <is>
          <t xml:space="preserve">يوضح الجدول أدناه مقياس التصنيف المعتمد لتحديد مستوى الخطر بناءً على حاصل ضرب الاحتمالية في التأثير: من 1 إلى 4 = منخفض، ومن 5 إلى 10 = متوسط، ومن 11 إلى 15 = مرتفع، ومن 16 إلى 25 = حرج.</t>
        </is>
      </c>
      <c r="M59" s="11" t="inlineStr">
        <is>
          <t xml:space="preserve">يوضح الرسمان أدناه توزيع درجات خطورة المخاطر قبل المعالجة وبعدها.</t>
        </is>
      </c>
    </row>
    <row r="60" spans="2:26" x14ac:dyDescent="0.25">
      <c r="B60" s="112" t="inlineStr">
        <is>
          <t xml:space="preserve">الاحتمالية: ما فرص وقوع الحدث الخطر؟</t>
        </is>
      </c>
      <c r="G60" s="51"/>
      <c r="H60" s="51"/>
    </row>
    <row r="61" spans="2:26" ht="38.1" customHeight="1" thickBot="1" x14ac:dyDescent="0.3">
      <c r="B61" s="112"/>
      <c r="C61" s="113" t="inlineStr">
        <is>
          <t xml:space="preserve">التأثير: ما حجم العواقب إذا وقع الحدث الخطر؟</t>
        </is>
      </c>
      <c r="D61" s="113"/>
      <c r="E61" s="113"/>
      <c r="F61" s="113"/>
      <c r="G61" s="113"/>
      <c r="H61" s="113"/>
      <c r="M61" s="10" t="inlineStr">
        <is>
          <t xml:space="preserve">قبل المعالجة</t>
        </is>
      </c>
      <c r="U61" s="10" t="inlineStr">
        <is>
          <t xml:space="preserve">بعد المعالجة</t>
        </is>
      </c>
    </row>
    <row r="62" spans="2:26" ht="48" customHeight="1" thickTop="1" thickBot="1" x14ac:dyDescent="0.3">
      <c r="B62" s="112"/>
      <c r="C62" s="52"/>
      <c r="D62" s="53" t="inlineStr">
        <is>
          <t xml:space="preserve">محدود جداً
1</t>
        </is>
      </c>
      <c r="E62" s="53" t="inlineStr">
        <is>
          <t xml:space="preserve">منخفض
2</t>
        </is>
      </c>
      <c r="F62" s="53" t="inlineStr">
        <is>
          <t xml:space="preserve">متوسط
3</t>
        </is>
      </c>
      <c r="G62" s="53" t="inlineStr">
        <is>
          <t xml:space="preserve">كبير
4</t>
        </is>
      </c>
      <c r="H62" s="53" t="inlineStr">
        <is>
          <t xml:space="preserve">حرج
5</t>
        </is>
      </c>
      <c r="L62" s="114" t="inlineStr">
        <is>
          <t xml:space="preserve">احتمالية الخطر</t>
        </is>
      </c>
      <c r="M62" s="54">
        <v>5</v>
      </c>
      <c r="N62" s="55" cm="1">
        <f t="array" ref="N62">SUMPRODUCT((RiskAssessment[الاحتمالية]=$M62)*(RiskAssessment[التأثير]=N$67))</f>
        <v>0</v>
      </c>
      <c r="O62" s="55" cm="1">
        <f t="array" ref="O62">SUMPRODUCT((RiskAssessment[الاحتمالية]=$M62)*(RiskAssessment[التأثير]=O$67))</f>
        <v>0</v>
      </c>
      <c r="P62" s="56" cm="1">
        <f t="array" ref="P62">SUMPRODUCT((RiskAssessment[الاحتمالية]=$M62)*(RiskAssessment[التأثير]=P$67))</f>
        <v>0</v>
      </c>
      <c r="Q62" s="56" cm="1">
        <f t="array" ref="Q62">SUMPRODUCT((RiskAssessment[الاحتمالية]=$M62)*(RiskAssessment[التأثير]=Q$67))</f>
        <v>0</v>
      </c>
      <c r="R62" s="56" cm="1">
        <f t="array" ref="R62">SUMPRODUCT((RiskAssessment[الاحتمالية]=$M62)*(RiskAssessment[التأثير]=R$67))</f>
        <v>0</v>
      </c>
      <c r="S62" s="57"/>
      <c r="T62" s="114" t="inlineStr">
        <is>
          <t xml:space="preserve">احتمالية الخطر</t>
        </is>
      </c>
      <c r="U62" s="54">
        <v>5</v>
      </c>
      <c r="V62" s="55" cm="1">
        <f t="array" ref="V62">SUMPRODUCT((RiskAssessment[الاحتمالية بعد المعالجة]=$U62)*(RiskAssessment[التأثير بعد المعالجة]=V$67))</f>
        <v>0</v>
      </c>
      <c r="W62" s="55" cm="1">
        <f t="array" ref="W62">SUMPRODUCT((RiskAssessment[الاحتمالية بعد المعالجة]=$U62)*(RiskAssessment[التأثير بعد المعالجة]=W$67))</f>
        <v>0</v>
      </c>
      <c r="X62" s="56" cm="1">
        <f t="array" ref="X62">SUMPRODUCT((RiskAssessment[الاحتمالية بعد المعالجة]=$U62)*(RiskAssessment[التأثير بعد المعالجة]=X$67))</f>
        <v>0</v>
      </c>
      <c r="Y62" s="56" cm="1">
        <f t="array" ref="Y62">SUMPRODUCT((RiskAssessment[الاحتمالية بعد المعالجة]=$U62)*(RiskAssessment[التأثير بعد المعالجة]=Y$67))</f>
        <v>0</v>
      </c>
      <c r="Z62" s="56" cm="1">
        <f t="array" ref="Z62">SUMPRODUCT((RiskAssessment[الاحتمالية بعد المعالجة]=$U62)*(RiskAssessment[التأثير بعد المعالجة]=Z$67))</f>
        <v>0</v>
      </c>
    </row>
    <row r="63" spans="2:26" ht="48" customHeight="1" thickTop="1" thickBot="1" x14ac:dyDescent="0.3">
      <c r="B63" s="112"/>
      <c r="C63" s="53" t="inlineStr">
        <is>
          <t xml:space="preserve">شبه مؤكد
5</t>
        </is>
      </c>
      <c r="D63" s="58" t="inlineStr">
        <is>
          <t xml:space="preserve">متوسط
5</t>
        </is>
      </c>
      <c r="E63" s="58" t="inlineStr">
        <is>
          <t xml:space="preserve">متوسط
10</t>
        </is>
      </c>
      <c r="F63" s="59" t="inlineStr">
        <is>
          <t xml:space="preserve">مرتفع
15</t>
        </is>
      </c>
      <c r="G63" s="59" t="inlineStr">
        <is>
          <t xml:space="preserve">حرج
20</t>
        </is>
      </c>
      <c r="H63" s="59" t="inlineStr">
        <is>
          <t xml:space="preserve">حرج
25</t>
        </is>
      </c>
      <c r="L63" s="114"/>
      <c r="M63" s="60">
        <v>4</v>
      </c>
      <c r="N63" s="61" cm="1">
        <f t="array" ref="N63">SUMPRODUCT((RiskAssessment[الاحتمالية]=$M63)*(RiskAssessment[التأثير]=N$67))</f>
        <v>0</v>
      </c>
      <c r="O63" s="55" cm="1">
        <f t="array" ref="O63">SUMPRODUCT((RiskAssessment[الاحتمالية]=$M63)*(RiskAssessment[التأثير]=O$67))</f>
        <v>0</v>
      </c>
      <c r="P63" s="56" cm="1">
        <f t="array" ref="P63">SUMPRODUCT((RiskAssessment[الاحتمالية]=$M63)*(RiskAssessment[التأثير]=P$67))</f>
        <v>0</v>
      </c>
      <c r="Q63" s="56" cm="1">
        <f t="array" ref="Q63">SUMPRODUCT((RiskAssessment[الاحتمالية]=$M63)*(RiskAssessment[التأثير]=Q$67))</f>
        <v>0</v>
      </c>
      <c r="R63" s="56" cm="1">
        <f t="array" ref="R63">SUMPRODUCT((RiskAssessment[الاحتمالية]=$M63)*(RiskAssessment[التأثير]=R$67))</f>
        <v>0</v>
      </c>
      <c r="S63" s="57"/>
      <c r="T63" s="114"/>
      <c r="U63" s="60">
        <v>4</v>
      </c>
      <c r="V63" s="61" cm="1">
        <f t="array" ref="V63">SUMPRODUCT((RiskAssessment[الاحتمالية بعد المعالجة]=$U63)*(RiskAssessment[التأثير بعد المعالجة]=V$67))</f>
        <v>0</v>
      </c>
      <c r="W63" s="55" cm="1">
        <f t="array" ref="W63">SUMPRODUCT((RiskAssessment[الاحتمالية بعد المعالجة]=$U63)*(RiskAssessment[التأثير بعد المعالجة]=W$67))</f>
        <v>0</v>
      </c>
      <c r="X63" s="56" cm="1">
        <f t="array" ref="X63">SUMPRODUCT((RiskAssessment[الاحتمالية بعد المعالجة]=$U63)*(RiskAssessment[التأثير بعد المعالجة]=X$67))</f>
        <v>0</v>
      </c>
      <c r="Y63" s="56" cm="1">
        <f t="array" ref="Y63">SUMPRODUCT((RiskAssessment[الاحتمالية بعد المعالجة]=$U63)*(RiskAssessment[التأثير بعد المعالجة]=Y$67))</f>
        <v>0</v>
      </c>
      <c r="Z63" s="56" cm="1">
        <f t="array" ref="Z63">SUMPRODUCT((RiskAssessment[الاحتمالية بعد المعالجة]=$U63)*(RiskAssessment[التأثير بعد المعالجة]=Z$67))</f>
        <v>0</v>
      </c>
    </row>
    <row r="64" spans="2:26" ht="48" customHeight="1" thickTop="1" thickBot="1" x14ac:dyDescent="0.3">
      <c r="B64" s="112"/>
      <c r="C64" s="53" t="inlineStr">
        <is>
          <t xml:space="preserve">مرجح
4</t>
        </is>
      </c>
      <c r="D64" s="62" t="inlineStr">
        <is>
          <t xml:space="preserve">منخفض
4</t>
        </is>
      </c>
      <c r="E64" s="58" t="inlineStr">
        <is>
          <t xml:space="preserve">متوسط
8</t>
        </is>
      </c>
      <c r="F64" s="59" t="inlineStr">
        <is>
          <t xml:space="preserve">مرتفع
12</t>
        </is>
      </c>
      <c r="G64" s="59" t="inlineStr">
        <is>
          <t xml:space="preserve">حرج
16</t>
        </is>
      </c>
      <c r="H64" s="59" t="inlineStr">
        <is>
          <t xml:space="preserve">حرج
20</t>
        </is>
      </c>
      <c r="L64" s="114"/>
      <c r="M64" s="60">
        <v>3</v>
      </c>
      <c r="N64" s="61" cm="1">
        <f t="array" ref="N64">SUMPRODUCT((RiskAssessment[الاحتمالية]=$M64)*(RiskAssessment[التأثير]=N$67))</f>
        <v>0</v>
      </c>
      <c r="O64" s="55" cm="1">
        <f t="array" ref="O64">SUMPRODUCT((RiskAssessment[الاحتمالية]=$M64)*(RiskAssessment[التأثير]=O$67))</f>
        <v>0</v>
      </c>
      <c r="P64" s="55" cm="1">
        <f t="array" ref="P64">SUMPRODUCT((RiskAssessment[الاحتمالية]=$M64)*(RiskAssessment[التأثير]=P$67))</f>
        <v>0</v>
      </c>
      <c r="Q64" s="56" cm="1">
        <f t="array" ref="Q64">SUMPRODUCT((RiskAssessment[الاحتمالية]=$M64)*(RiskAssessment[التأثير]=Q$67))</f>
        <v>0</v>
      </c>
      <c r="R64" s="56" cm="1">
        <f t="array" ref="R64">SUMPRODUCT((RiskAssessment[الاحتمالية]=$M64)*(RiskAssessment[التأثير]=R$67))</f>
        <v>0</v>
      </c>
      <c r="S64" s="57"/>
      <c r="T64" s="114"/>
      <c r="U64" s="60">
        <v>3</v>
      </c>
      <c r="V64" s="61" cm="1">
        <f t="array" ref="V64">SUMPRODUCT((RiskAssessment[الاحتمالية بعد المعالجة]=$U64)*(RiskAssessment[التأثير بعد المعالجة]=V$67))</f>
        <v>0</v>
      </c>
      <c r="W64" s="55" cm="1">
        <f t="array" ref="W64">SUMPRODUCT((RiskAssessment[الاحتمالية بعد المعالجة]=$U64)*(RiskAssessment[التأثير بعد المعالجة]=W$67))</f>
        <v>0</v>
      </c>
      <c r="X64" s="55" cm="1">
        <f t="array" ref="X64">SUMPRODUCT((RiskAssessment[الاحتمالية بعد المعالجة]=$U64)*(RiskAssessment[التأثير بعد المعالجة]=X$67))</f>
        <v>0</v>
      </c>
      <c r="Y64" s="56" cm="1">
        <f t="array" ref="Y64">SUMPRODUCT((RiskAssessment[الاحتمالية بعد المعالجة]=$U64)*(RiskAssessment[التأثير بعد المعالجة]=Y$67))</f>
        <v>0</v>
      </c>
      <c r="Z64" s="56" cm="1">
        <f t="array" ref="Z64">SUMPRODUCT((RiskAssessment[الاحتمالية بعد المعالجة]=$U64)*(RiskAssessment[التأثير بعد المعالجة]=Z$67))</f>
        <v>0</v>
      </c>
    </row>
    <row r="65" spans="2:26" ht="48" customHeight="1" thickTop="1" thickBot="1" x14ac:dyDescent="0.3">
      <c r="B65" s="112"/>
      <c r="C65" s="53" t="inlineStr">
        <is>
          <t xml:space="preserve">محتمل
3</t>
        </is>
      </c>
      <c r="D65" s="62" t="inlineStr">
        <is>
          <t xml:space="preserve">منخفض
3</t>
        </is>
      </c>
      <c r="E65" s="58" t="inlineStr">
        <is>
          <t xml:space="preserve">متوسط
6</t>
        </is>
      </c>
      <c r="F65" s="58" t="inlineStr">
        <is>
          <t xml:space="preserve">متوسط
9</t>
        </is>
      </c>
      <c r="G65" s="59" t="inlineStr">
        <is>
          <t xml:space="preserve">مرتفع
12</t>
        </is>
      </c>
      <c r="H65" s="59" t="inlineStr">
        <is>
          <t xml:space="preserve">مرتفع
15</t>
        </is>
      </c>
      <c r="L65" s="114"/>
      <c r="M65" s="60">
        <v>2</v>
      </c>
      <c r="N65" s="61" cm="1">
        <f t="array" ref="N65">SUMPRODUCT((RiskAssessment[الاحتمالية]=$M65)*(RiskAssessment[التأثير]=N$67))</f>
        <v>0</v>
      </c>
      <c r="O65" s="61" cm="1">
        <f t="array" ref="O65">SUMPRODUCT((RiskAssessment[الاحتمالية]=$M65)*(RiskAssessment[التأثير]=O$67))</f>
        <v>0</v>
      </c>
      <c r="P65" s="55" cm="1">
        <f t="array" ref="P65">SUMPRODUCT((RiskAssessment[الاحتمالية]=$M65)*(RiskAssessment[التأثير]=P$67))</f>
        <v>0</v>
      </c>
      <c r="Q65" s="55" cm="1">
        <f t="array" ref="Q65">SUMPRODUCT((RiskAssessment[الاحتمالية]=$M65)*(RiskAssessment[التأثير]=Q$67))</f>
        <v>0</v>
      </c>
      <c r="R65" s="55" cm="1">
        <f t="array" ref="R65">SUMPRODUCT((RiskAssessment[الاحتمالية]=$M65)*(RiskAssessment[التأثير]=R$67))</f>
        <v>0</v>
      </c>
      <c r="S65" s="57"/>
      <c r="T65" s="114"/>
      <c r="U65" s="60">
        <v>2</v>
      </c>
      <c r="V65" s="61" cm="1">
        <f t="array" ref="V65">SUMPRODUCT((RiskAssessment[الاحتمالية بعد المعالجة]=$U65)*(RiskAssessment[التأثير بعد المعالجة]=V$67))</f>
        <v>0</v>
      </c>
      <c r="W65" s="61" cm="1">
        <f t="array" ref="W65">SUMPRODUCT((RiskAssessment[الاحتمالية بعد المعالجة]=$U65)*(RiskAssessment[التأثير بعد المعالجة]=W$67))</f>
        <v>0</v>
      </c>
      <c r="X65" s="55" cm="1">
        <f t="array" ref="X65">SUMPRODUCT((RiskAssessment[الاحتمالية بعد المعالجة]=$U65)*(RiskAssessment[التأثير بعد المعالجة]=X$67))</f>
        <v>0</v>
      </c>
      <c r="Y65" s="55" cm="1">
        <f t="array" ref="Y65">SUMPRODUCT((RiskAssessment[الاحتمالية بعد المعالجة]=$U65)*(RiskAssessment[التأثير بعد المعالجة]=Y$67))</f>
        <v>0</v>
      </c>
      <c r="Z65" s="55" cm="1">
        <f t="array" ref="Z65">SUMPRODUCT((RiskAssessment[الاحتمالية بعد المعالجة]=$U65)*(RiskAssessment[التأثير بعد المعالجة]=Z$67))</f>
        <v>0</v>
      </c>
    </row>
    <row r="66" spans="2:26" ht="48" customHeight="1" thickTop="1" thickBot="1" x14ac:dyDescent="0.3">
      <c r="B66" s="112"/>
      <c r="C66" s="53" t="inlineStr">
        <is>
          <t xml:space="preserve">نادر
2</t>
        </is>
      </c>
      <c r="D66" s="62" t="inlineStr">
        <is>
          <t xml:space="preserve">منخفض
2</t>
        </is>
      </c>
      <c r="E66" s="62" t="inlineStr">
        <is>
          <t xml:space="preserve">منخفض
4</t>
        </is>
      </c>
      <c r="F66" s="58" t="inlineStr">
        <is>
          <t xml:space="preserve">متوسط
6</t>
        </is>
      </c>
      <c r="G66" s="58" t="inlineStr">
        <is>
          <t xml:space="preserve">متوسط
8</t>
        </is>
      </c>
      <c r="H66" s="58" t="inlineStr">
        <is>
          <t xml:space="preserve">متوسط
10</t>
        </is>
      </c>
      <c r="L66" s="114"/>
      <c r="M66" s="60">
        <v>1</v>
      </c>
      <c r="N66" s="61" cm="1">
        <f t="array" ref="N66">SUMPRODUCT((RiskAssessment[الاحتمالية]=$M66)*(RiskAssessment[التأثير]=N$67))</f>
        <v>0</v>
      </c>
      <c r="O66" s="61" cm="1">
        <f t="array" ref="O66">SUMPRODUCT((RiskAssessment[الاحتمالية]=$M66)*(RiskAssessment[التأثير]=O$67))</f>
        <v>0</v>
      </c>
      <c r="P66" s="61" cm="1">
        <f t="array" ref="P66">SUMPRODUCT((RiskAssessment[الاحتمالية]=$M66)*(RiskAssessment[التأثير]=P$67))</f>
        <v>0</v>
      </c>
      <c r="Q66" s="61" cm="1">
        <f t="array" ref="Q66">SUMPRODUCT((RiskAssessment[الاحتمالية]=$M66)*(RiskAssessment[التأثير]=Q$67))</f>
        <v>0</v>
      </c>
      <c r="R66" s="55" cm="1">
        <f t="array" ref="R66">SUMPRODUCT((RiskAssessment[الاحتمالية]=$M66)*(RiskAssessment[التأثير]=R$67))</f>
        <v>0</v>
      </c>
      <c r="S66" s="57"/>
      <c r="T66" s="114"/>
      <c r="U66" s="60">
        <v>1</v>
      </c>
      <c r="V66" s="61" cm="1">
        <f t="array" ref="V66">SUMPRODUCT((RiskAssessment[الاحتمالية بعد المعالجة]=$U66)*(RiskAssessment[التأثير بعد المعالجة]=V$67))</f>
        <v>0</v>
      </c>
      <c r="W66" s="61" cm="1">
        <f t="array" ref="W66">SUMPRODUCT((RiskAssessment[الاحتمالية بعد المعالجة]=$U66)*(RiskAssessment[التأثير بعد المعالجة]=W$67))</f>
        <v>0</v>
      </c>
      <c r="X66" s="61" cm="1">
        <f t="array" ref="X66">SUMPRODUCT((RiskAssessment[الاحتمالية بعد المعالجة]=$U66)*(RiskAssessment[التأثير بعد المعالجة]=X$67))</f>
        <v>0</v>
      </c>
      <c r="Y66" s="61" cm="1">
        <f t="array" ref="Y66">SUMPRODUCT((RiskAssessment[الاحتمالية بعد المعالجة]=$U66)*(RiskAssessment[التأثير بعد المعالجة]=Y$67))</f>
        <v>0</v>
      </c>
      <c r="Z66" s="55" cm="1">
        <f t="array" ref="Z66">SUMPRODUCT((RiskAssessment[الاحتمالية بعد المعالجة]=$U66)*(RiskAssessment[التأثير بعد المعالجة]=Z$67))</f>
        <v>0</v>
      </c>
    </row>
    <row r="67" spans="2:26" ht="48" customHeight="1" thickTop="1" thickBot="1" x14ac:dyDescent="0.3">
      <c r="B67" s="112"/>
      <c r="C67" s="53" t="inlineStr">
        <is>
          <t xml:space="preserve">نادر جداً
1</t>
        </is>
      </c>
      <c r="D67" s="62" t="inlineStr">
        <is>
          <t xml:space="preserve">منخفض
1</t>
        </is>
      </c>
      <c r="E67" s="62" t="inlineStr">
        <is>
          <t xml:space="preserve">منخفض
2</t>
        </is>
      </c>
      <c r="F67" s="62" t="inlineStr">
        <is>
          <t xml:space="preserve">منخفض
3</t>
        </is>
      </c>
      <c r="G67" s="62" t="inlineStr">
        <is>
          <t xml:space="preserve">منخفض
4</t>
        </is>
      </c>
      <c r="H67" s="58" t="inlineStr">
        <is>
          <t xml:space="preserve">متوسط
5</t>
        </is>
      </c>
      <c r="L67" s="114"/>
      <c r="M67" s="63"/>
      <c r="N67" s="64">
        <v>1</v>
      </c>
      <c r="O67" s="64">
        <v>2</v>
      </c>
      <c r="P67" s="64">
        <v>3</v>
      </c>
      <c r="Q67" s="64">
        <v>4</v>
      </c>
      <c r="R67" s="65">
        <v>5</v>
      </c>
      <c r="S67" s="57"/>
      <c r="T67" s="114"/>
      <c r="U67" s="63"/>
      <c r="V67" s="64">
        <v>1</v>
      </c>
      <c r="W67" s="64">
        <v>2</v>
      </c>
      <c r="X67" s="64">
        <v>3</v>
      </c>
      <c r="Y67" s="64">
        <v>4</v>
      </c>
      <c r="Z67" s="65">
        <v>5</v>
      </c>
    </row>
    <row r="68" spans="2:26" ht="32.25" customHeight="1" thickTop="1" x14ac:dyDescent="0.25">
      <c r="M68" s="111" t="inlineStr">
        <is>
          <t xml:space="preserve">تأثير الخطر</t>
        </is>
      </c>
      <c r="N68" s="111"/>
      <c r="O68" s="111"/>
      <c r="P68" s="111"/>
      <c r="Q68" s="111"/>
      <c r="R68" s="111"/>
      <c r="S68" s="66"/>
      <c r="U68" s="111" t="inlineStr">
        <is>
          <t xml:space="preserve">تأثير الخطر</t>
        </is>
      </c>
      <c r="V68" s="111"/>
      <c r="W68" s="111"/>
      <c r="X68" s="111"/>
      <c r="Y68" s="111"/>
      <c r="Z68" s="111"/>
    </row>
    <row r="70" spans="2:26" ht="15" customHeight="1" x14ac:dyDescent="0.25">
      <c r="B70" s="48"/>
      <c r="I70" s="2"/>
      <c r="J70" s="2"/>
      <c r="K70" s="2"/>
      <c r="L70" s="2"/>
    </row>
    <row r="71" spans="2:26" ht="15" customHeight="1" x14ac:dyDescent="0.25">
      <c r="B71" s="48"/>
      <c r="I71" s="3"/>
      <c r="J71" s="3"/>
      <c r="K71" s="3"/>
      <c r="L71" s="3"/>
      <c r="M71" s="3"/>
      <c r="N71" s="3"/>
      <c r="O71" s="3"/>
    </row>
    <row r="72" spans="2:26" ht="18.75" x14ac:dyDescent="0.3">
      <c r="B72" s="45" t="inlineStr">
        <is>
          <t xml:space="preserve">خطة المعالجة</t>
        </is>
      </c>
      <c r="C72" s="43"/>
      <c r="D72" s="43"/>
      <c r="E72" s="43"/>
      <c r="F72" s="43"/>
      <c r="G72" s="43"/>
      <c r="H72" s="43"/>
      <c r="I72" s="43"/>
      <c r="J72" s="43"/>
      <c r="K72" s="43"/>
      <c r="L72" s="43"/>
      <c r="M72" s="43"/>
      <c r="N72" s="43"/>
      <c r="O72" s="43"/>
      <c r="P72" s="43"/>
      <c r="Q72" s="43"/>
      <c r="R72" s="43"/>
      <c r="S72" s="43"/>
      <c r="T72" s="43"/>
      <c r="U72" s="43"/>
      <c r="V72" s="43"/>
      <c r="W72" s="46"/>
      <c r="X72" s="46"/>
      <c r="Y72" s="46"/>
      <c r="Z72" s="46"/>
    </row>
  </sheetData>
  <mergeCells count="6">
    <mergeCell ref="U68:Z68"/>
    <mergeCell ref="B60:B67"/>
    <mergeCell ref="C61:H61"/>
    <mergeCell ref="L62:L67"/>
    <mergeCell ref="T62:T67"/>
    <mergeCell ref="M68:R68"/>
  </mergeCells>
  <pageMargins left="0.23622047244094491" right="0.23622047244094491" top="0.39370078740157483" bottom="0.39370078740157483" header="0.19685039370078741" footer="0.19685039370078741"/>
  <pageSetup paperSize="9" scale="34" orientation="landscape" horizontalDpi="360" verticalDpi="360" r:id="rId1"/>
  <drawing r:id="rId2"/>
</worksheet>
</file>

<file path=xl/worksheets/sheet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2991-28B9-4CBE-BB78-BA0E12EC3B79}">
  <sheetPr codeName="Sheet5"/>
  <dimension ref="B4:C15"/>
  <sheetViews>
    <sheetView showGridLines="0" workbookViewId="0"/>
  </sheetViews>
  <sheetFormatPr defaultRowHeight="15" x14ac:dyDescent="0.25"/>
  <cols>
    <col min="1" max="1" width="2.85546875" customWidth="1"/>
    <col min="2" max="2" width="11.7109375" bestFit="1" customWidth="1"/>
    <col min="3" max="3" width="14.28515625" bestFit="1" customWidth="1"/>
  </cols>
  <sheetData>
    <row r="4" spans="2:3" ht="18.75" x14ac:dyDescent="0.3">
      <c r="B4" s="23" t="inlineStr">
        <is>
          <t xml:space="preserve">عدد المخاطر قبل المعالجة حسب مستوى الخطر</t>
        </is>
      </c>
    </row>
    <row r="5" spans="2:3" ht="18.75" x14ac:dyDescent="0.3">
      <c r="B5" s="23"/>
    </row>
    <row r="6" spans="2:3" x14ac:dyDescent="0.25">
      <c r="B6" s="72" t="inlineStr">
        <is>
          <t xml:space="preserve">مستوى الخطر</t>
        </is>
      </c>
      <c r="C6" s="72" t="inlineStr">
        <is>
          <t xml:space="preserve">قبل المعالجة</t>
        </is>
      </c>
    </row>
    <row r="7" spans="2:3" x14ac:dyDescent="0.25">
      <c r="B7" t="inlineStr">
        <is>
          <t xml:space="preserve">منخفض</t>
        </is>
      </c>
      <c r="C7">
        <f>COUNTIF(RiskAssessment[مستوى الخطر],PreTreatmentRisksByRiskLevel[[#This Row],[مستوى الخطر]])</f>
        <v>0</v>
      </c>
    </row>
    <row r="8" spans="2:3" x14ac:dyDescent="0.25">
      <c r="B8" t="inlineStr">
        <is>
          <t xml:space="preserve">متوسط</t>
        </is>
      </c>
      <c r="C8">
        <f>COUNTIF(RiskAssessment[مستوى الخطر],PreTreatmentRisksByRiskLevel[[#This Row],[مستوى الخطر]])</f>
        <v>0</v>
      </c>
    </row>
    <row r="9" spans="2:3" x14ac:dyDescent="0.25">
      <c r="B9" t="inlineStr">
        <is>
          <t xml:space="preserve">مرتفع</t>
        </is>
      </c>
      <c r="C9">
        <f>COUNTIF(RiskAssessment[مستوى الخطر],PreTreatmentRisksByRiskLevel[[#This Row],[مستوى الخطر]])</f>
        <v>0</v>
      </c>
    </row>
    <row r="10" spans="2:3" ht="15" customHeight="1" x14ac:dyDescent="0.25">
      <c r="B10" t="inlineStr">
        <is>
          <t xml:space="preserve">حرج</t>
        </is>
      </c>
      <c r="C10">
        <f>COUNTIF(RiskAssessment[مستوى الخطر],PreTreatmentRisksByRiskLevel[[#This Row],[مستوى الخطر]])</f>
        <v>0</v>
      </c>
    </row>
    <row r="11" spans="2:3" ht="15" customHeight="1" x14ac:dyDescent="0.3">
      <c r="B11" s="23"/>
    </row>
    <row r="12" spans="2:3" ht="15" customHeight="1" x14ac:dyDescent="0.25">
      <c r="B12" s="43"/>
      <c r="C12" s="43"/>
    </row>
    <row r="13" spans="2:3" x14ac:dyDescent="0.25">
      <c r="B13"/>
      <c r="C13"/>
    </row>
    <row r="14" spans="2:3" x14ac:dyDescent="0.25">
      <c r="B14"/>
      <c r="C14"/>
    </row>
    <row r="15" spans="2:3" x14ac:dyDescent="0.25">
      <c r="B15"/>
      <c r="C15"/>
    </row>
    <row r="16">
      <c r="B16" t="inlineStr">
        <is>
          <t xml:space="preserve">حرج</t>
        </is>
      </c>
      <c r="C16">
        <v>6</v>
      </c>
    </row>
    <row r="17">
      <c r="B17" t="inlineStr">
        <is>
          <t xml:space="preserve">الإجمالي العام</t>
        </is>
      </c>
      <c r="C17">
        <v>32</v>
      </c>
    </row>
  </sheetData>
  <pageMargins left="0.7" right="0.7" top="0.75" bottom="0.75" header="0.3" footer="0.3"/>
  <pageSetup paperSize="9" orientation="portrait" horizontalDpi="360" verticalDpi="360" r:id="rId2"/>
  <tableParts count="1">
    <tablePart r:id="rId3"/>
  </tableParts>
</worksheet>
</file>

<file path=xl/worksheets/sheet6.xml><?xml version="1.0" encoding="utf-8"?>
<worksheet xmlns="http://schemas.openxmlformats.org/spreadsheetml/2006/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1BAE-F024-45E0-AB98-91104AF917EE}">
  <sheetPr codeName="Sheet6"/>
  <dimension ref="B4:D7"/>
  <sheetViews>
    <sheetView showGridLines="0" workbookViewId="0"/>
  </sheetViews>
  <sheetFormatPr defaultRowHeight="15" x14ac:dyDescent="0.25"/>
  <cols>
    <col min="1" max="1" width="2.85546875" customWidth="1"/>
    <col min="2" max="2" width="21" bestFit="1" customWidth="1"/>
    <col min="3" max="3" width="13.28515625" bestFit="1" customWidth="1"/>
    <col min="4" max="4" width="10.140625" bestFit="1" customWidth="1"/>
  </cols>
  <sheetData>
    <row r="4" spans="2:4" ht="18.75" x14ac:dyDescent="0.3">
      <c r="B4" s="23" t="inlineStr">
        <is>
          <t xml:space="preserve">المخاطر قبل المعالجة حسب مستوى الخطر ومالك الخطر</t>
        </is>
      </c>
      <c r="F4" t="inlineStr">
        <is>
          <t xml:space="preserve">المخاطر قبل المعالجة حسب مالك الخطر (جدول مساعد لتغذية الرسم البياني في لوحة المؤشرات)</t>
        </is>
      </c>
    </row>
    <row r="5">
      <c r="F5" t="inlineStr">
        <is>
          <t xml:space="preserve">مالك الخطر</t>
        </is>
      </c>
      <c r="G5" t="inlineStr">
        <is>
          <t xml:space="preserve">عدد المخاطر</t>
        </is>
      </c>
    </row>
    <row r="6" spans="2:4" x14ac:dyDescent="0.25">
      <c r="B6" s="43"/>
      <c r="C6" s="43"/>
      <c r="D6" s="43"/>
      <c r="F6" t="inlineStr">
        <is>
          <t xml:space="preserve">مدير إدارة تقنية المعلومات</t>
        </is>
      </c>
      <c r="G6">
        <f>COUNTIF(RiskAssessment[مالك الخطر],F6)</f>
        <v>5</v>
      </c>
    </row>
    <row r="7" spans="2:4" x14ac:dyDescent="0.25">
      <c r="B7"/>
      <c r="C7"/>
      <c r="D7"/>
      <c r="F7" t="inlineStr">
        <is>
          <t xml:space="preserve">مدير إدارة أمن المعلومات</t>
        </is>
      </c>
      <c r="G7">
        <f>COUNTIF(RiskAssessment[مالك الخطر],F7)</f>
        <v>4</v>
      </c>
    </row>
    <row r="8">
      <c r="F8" t="inlineStr">
        <is>
          <t xml:space="preserve">مدير قسم التطبيقات المصرفية</t>
        </is>
      </c>
      <c r="G8">
        <f>COUNTIF(RiskAssessment[مالك الخطر],F8)</f>
        <v>3</v>
      </c>
    </row>
    <row r="9">
      <c r="F9" t="inlineStr">
        <is>
          <t xml:space="preserve">مدير إدارة الموارد البشرية</t>
        </is>
      </c>
      <c r="G9">
        <f>COUNTIF(RiskAssessment[مالك الخطر],F9)</f>
        <v>3</v>
      </c>
    </row>
    <row r="10">
      <c r="F10" t="inlineStr">
        <is>
          <t xml:space="preserve">مدير قسم الدعم الفني</t>
        </is>
      </c>
      <c r="G10">
        <f>COUNTIF(RiskAssessment[مالك الخطر],F10)</f>
        <v>2</v>
      </c>
    </row>
    <row r="11">
      <c r="F11" t="inlineStr">
        <is>
          <t xml:space="preserve">مدير قسم البنية التحتية والشبكات</t>
        </is>
      </c>
      <c r="G11">
        <f>COUNTIF(RiskAssessment[مالك الخطر],F11)</f>
        <v>5</v>
      </c>
    </row>
    <row r="12">
      <c r="F12" t="inlineStr">
        <is>
          <t xml:space="preserve">مدير إدارة المرافق والخدمات العامة</t>
        </is>
      </c>
      <c r="G12">
        <f>COUNTIF(RiskAssessment[مالك الخطر],F12)</f>
        <v>2</v>
      </c>
    </row>
    <row r="13">
      <c r="F13" t="inlineStr">
        <is>
          <t xml:space="preserve">إدارة المشتريات والعقود</t>
        </is>
      </c>
      <c r="G13">
        <f>COUNTIF(RiskAssessment[مالك الخطر],F13)</f>
        <v>1</v>
      </c>
    </row>
    <row r="14">
      <c r="F14" t="inlineStr">
        <is>
          <t xml:space="preserve">رئيس قسم تطوير البرمجيات</t>
        </is>
      </c>
      <c r="G14">
        <f>COUNTIF(RiskAssessment[مالك الخطر],F14)</f>
        <v>3</v>
      </c>
    </row>
    <row r="15">
      <c r="F15" t="inlineStr">
        <is>
          <t xml:space="preserve">مدير إدارة الالتزام والحوكمة</t>
        </is>
      </c>
      <c r="G15">
        <f>COUNTIF(RiskAssessment[مالك الخطر],F15)</f>
        <v>1</v>
      </c>
    </row>
    <row r="16">
      <c r="F16" t="inlineStr">
        <is>
          <t xml:space="preserve">مدير إدارة الشؤون القانونية</t>
        </is>
      </c>
      <c r="G16">
        <f>COUNTIF(RiskAssessment[مالك الخطر],F16)</f>
        <v>1</v>
      </c>
    </row>
    <row r="17">
      <c r="F17" t="inlineStr">
        <is>
          <t xml:space="preserve">مدير إدارة العمليات المصرفية</t>
        </is>
      </c>
      <c r="G17">
        <f>COUNTIF(RiskAssessment[مالك الخطر],F17)</f>
        <v>2</v>
      </c>
    </row>
    <row r="18">
      <c r="F18" t="inlineStr">
        <is>
          <t xml:space="preserve">الإجمالي العام</t>
        </is>
      </c>
      <c r="G18">
        <f>SUM(G6:G17)</f>
        <v>32</v>
      </c>
    </row>
  </sheetData>
  <pageMargins left="0.7" right="0.7" top="0.75" bottom="0.75" header="0.3" footer="0.3"/>
</worksheet>
</file>

<file path=xl/worksheets/sheet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8EA3-A53A-4148-954D-4118E6352401}">
  <sheetPr codeName="Sheet10"/>
  <dimension ref="B4:C15"/>
  <sheetViews>
    <sheetView showGridLines="0" workbookViewId="0"/>
  </sheetViews>
  <sheetFormatPr defaultRowHeight="15" x14ac:dyDescent="0.25"/>
  <cols>
    <col min="1" max="1" width="2.85546875" customWidth="1"/>
    <col min="2" max="2" width="11.7109375" bestFit="1" customWidth="1"/>
    <col min="3" max="3" width="15.140625" bestFit="1" customWidth="1"/>
  </cols>
  <sheetData>
    <row r="4" spans="2:3" ht="18.75" x14ac:dyDescent="0.3">
      <c r="B4" s="23" t="inlineStr">
        <is>
          <t xml:space="preserve">عدد المخاطر بعد المعالجة حسب مستوى الخطر</t>
        </is>
      </c>
    </row>
    <row r="6" spans="2:3" x14ac:dyDescent="0.25">
      <c r="B6" s="72" t="inlineStr">
        <is>
          <t xml:space="preserve">مستوى الخطر</t>
        </is>
      </c>
      <c r="C6" s="72" t="inlineStr">
        <is>
          <t xml:space="preserve">بعد المعالجة</t>
        </is>
      </c>
    </row>
    <row r="7" spans="2:3" x14ac:dyDescent="0.25">
      <c r="B7" t="inlineStr">
        <is>
          <t xml:space="preserve">منخفض</t>
        </is>
      </c>
      <c r="C7">
        <f>COUNTIF(RiskAssessment[مستوى الخطر بعد المعالجة],RisksByRiskLevelPreandPostTreatment10[[#This Row],[مستوى الخطر]])</f>
        <v>0</v>
      </c>
    </row>
    <row r="8" spans="2:3" x14ac:dyDescent="0.25">
      <c r="B8" t="inlineStr">
        <is>
          <t xml:space="preserve">متوسط</t>
        </is>
      </c>
      <c r="C8">
        <f>COUNTIF(RiskAssessment[مستوى الخطر بعد المعالجة],RisksByRiskLevelPreandPostTreatment10[[#This Row],[مستوى الخطر]])</f>
        <v>0</v>
      </c>
    </row>
    <row r="9" spans="2:3" x14ac:dyDescent="0.25">
      <c r="B9" t="inlineStr">
        <is>
          <t xml:space="preserve">مرتفع</t>
        </is>
      </c>
      <c r="C9">
        <f>COUNTIF(RiskAssessment[مستوى الخطر بعد المعالجة],RisksByRiskLevelPreandPostTreatment10[[#This Row],[مستوى الخطر]])</f>
        <v>0</v>
      </c>
    </row>
    <row r="10" spans="2:3" ht="18.75" x14ac:dyDescent="0.25">
      <c r="B10" t="inlineStr">
        <is>
          <t xml:space="preserve">حرج</t>
        </is>
      </c>
      <c r="C10">
        <f>COUNTIF(RiskAssessment[مستوى الخطر بعد المعالجة],RisksByRiskLevelPreandPostTreatment10[[#This Row],[مستوى الخطر]])</f>
        <v>0</v>
      </c>
    </row>
    <row r="12" spans="2:3" x14ac:dyDescent="0.25">
      <c r="B12" s="43"/>
      <c r="C12" s="43"/>
    </row>
    <row r="13" spans="2:3" x14ac:dyDescent="0.25">
      <c r="B13"/>
      <c r="C13"/>
    </row>
    <row r="14" spans="2:3" x14ac:dyDescent="0.25">
      <c r="B14"/>
      <c r="C14"/>
    </row>
    <row r="15" spans="2:3" x14ac:dyDescent="0.25">
      <c r="B15"/>
      <c r="C15"/>
    </row>
    <row r="16">
      <c r="B16" t="inlineStr">
        <is>
          <t xml:space="preserve">حرج</t>
        </is>
      </c>
      <c r="C16">
        <v>0</v>
      </c>
    </row>
    <row r="17">
      <c r="B17" t="inlineStr">
        <is>
          <t xml:space="preserve">الإجمالي العام</t>
        </is>
      </c>
      <c r="C17">
        <v>32</v>
      </c>
    </row>
  </sheetData>
  <pageMargins left="0.7" right="0.7" top="0.75" bottom="0.75" header="0.3" footer="0.3"/>
  <ignoredErrors>
    <ignoredError sqref="C7:C9" calculatedColumn="1"/>
  </ignoredErrors>
  <tableParts count="1">
    <tablePart r:id="rId2"/>
  </tableParts>
</worksheet>
</file>

<file path=xl/worksheets/sheet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4A311-44C2-4FA7-93B8-289F4BB38B73}">
  <sheetPr codeName="Sheet11"/>
  <dimension ref="B4:D15"/>
  <sheetViews>
    <sheetView showGridLines="0" workbookViewId="0"/>
  </sheetViews>
  <sheetFormatPr defaultRowHeight="15" x14ac:dyDescent="0.25"/>
  <cols>
    <col min="1" max="1" width="2.85546875" customWidth="1"/>
    <col min="2" max="2" width="11.7109375" bestFit="1" customWidth="1"/>
    <col min="3" max="3" width="14.28515625" bestFit="1" customWidth="1"/>
    <col min="4" max="4" width="15.140625" bestFit="1" customWidth="1"/>
  </cols>
  <sheetData>
    <row r="4" spans="2:4" ht="18.75" x14ac:dyDescent="0.25">
      <c r="B4" s="73" t="inlineStr">
        <is>
          <t xml:space="preserve">عدد المخاطر حسب مستوى الخطر قبل المعالجة وبعدها</t>
        </is>
      </c>
    </row>
    <row r="6" spans="2:4" x14ac:dyDescent="0.25">
      <c r="B6" s="72" t="inlineStr">
        <is>
          <t xml:space="preserve">مستوى الخطر</t>
        </is>
      </c>
      <c r="C6" s="72" t="inlineStr">
        <is>
          <t xml:space="preserve">قبل المعالجة</t>
        </is>
      </c>
      <c r="D6" s="72" t="inlineStr">
        <is>
          <t xml:space="preserve">بعد المعالجة</t>
        </is>
      </c>
    </row>
    <row r="7" spans="2:4" x14ac:dyDescent="0.25">
      <c r="B7" t="inlineStr">
        <is>
          <t xml:space="preserve">منخفض</t>
        </is>
      </c>
      <c r="C7">
        <f>COUNTIF(RiskAssessment[مستوى الخطر],PreMitigationRisksByRiskLevel10[[#This Row],[مستوى الخطر]])</f>
        <v>0</v>
      </c>
      <c r="D7">
        <f>COUNTIF(RiskAssessment[مستوى الخطر بعد المعالجة],PreMitigationRisksByRiskLevel10[[#This Row],[مستوى الخطر]])</f>
        <v>0</v>
      </c>
    </row>
    <row r="8" spans="2:4" x14ac:dyDescent="0.25">
      <c r="B8" t="inlineStr">
        <is>
          <t xml:space="preserve">متوسط</t>
        </is>
      </c>
      <c r="C8">
        <f>COUNTIF(RiskAssessment[مستوى الخطر],PreMitigationRisksByRiskLevel10[[#This Row],[مستوى الخطر]])</f>
        <v>0</v>
      </c>
      <c r="D8">
        <f>COUNTIF(RiskAssessment[مستوى الخطر بعد المعالجة],PreMitigationRisksByRiskLevel10[[#This Row],[مستوى الخطر]])</f>
        <v>0</v>
      </c>
    </row>
    <row r="9" spans="2:4" x14ac:dyDescent="0.25">
      <c r="B9" t="inlineStr">
        <is>
          <t xml:space="preserve">مرتفع</t>
        </is>
      </c>
      <c r="C9">
        <f>COUNTIF(RiskAssessment[مستوى الخطر],PreMitigationRisksByRiskLevel10[[#This Row],[مستوى الخطر]])</f>
        <v>0</v>
      </c>
      <c r="D9">
        <f>COUNTIF(RiskAssessment[مستوى الخطر بعد المعالجة],PreMitigationRisksByRiskLevel10[[#This Row],[مستوى الخطر]])</f>
        <v>0</v>
      </c>
    </row>
    <row r="10" spans="2:4" x14ac:dyDescent="0.25">
      <c r="B10" t="inlineStr">
        <is>
          <t xml:space="preserve">حرج</t>
        </is>
      </c>
      <c r="C10">
        <f>COUNTIF(RiskAssessment[مستوى الخطر],PreMitigationRisksByRiskLevel10[[#This Row],[مستوى الخطر]])</f>
        <v>0</v>
      </c>
      <c r="D10">
        <f>COUNTIF(RiskAssessment[مستوى الخطر بعد المعالجة],PreMitigationRisksByRiskLevel10[[#This Row],[مستوى الخطر]])</f>
        <v>0</v>
      </c>
    </row>
    <row r="12" spans="2:4" x14ac:dyDescent="0.25">
      <c r="B12" s="43" t="inlineStr">
        <is>
          <t xml:space="preserve">مستوى الخطر</t>
        </is>
      </c>
      <c r="C12" s="43" t="inlineStr">
        <is>
          <t xml:space="preserve">قبل المعالجة</t>
        </is>
      </c>
      <c r="D12" s="43" t="inlineStr">
        <is>
          <t xml:space="preserve">بعد المعالجة</t>
        </is>
      </c>
    </row>
    <row r="13" spans="2:4" x14ac:dyDescent="0.25">
      <c r="B13" t="inlineStr">
        <is>
          <t xml:space="preserve">منخفض</t>
        </is>
      </c>
      <c r="C13">
        <v>2</v>
      </c>
      <c r="D13">
        <v>17</v>
      </c>
    </row>
    <row r="14" spans="2:4" x14ac:dyDescent="0.25">
      <c r="B14" t="inlineStr">
        <is>
          <t xml:space="preserve">متوسط</t>
        </is>
      </c>
      <c r="C14">
        <v>15</v>
      </c>
      <c r="D14">
        <v>13</v>
      </c>
    </row>
    <row r="15" spans="2:4" x14ac:dyDescent="0.25">
      <c r="B15" t="inlineStr">
        <is>
          <t xml:space="preserve">مرتفع</t>
        </is>
      </c>
      <c r="C15">
        <v>9</v>
      </c>
      <c r="D15">
        <v>2</v>
      </c>
    </row>
    <row r="16">
      <c r="B16" t="inlineStr">
        <is>
          <t xml:space="preserve">حرج</t>
        </is>
      </c>
      <c r="C16">
        <v>6</v>
      </c>
      <c r="D16">
        <v>0</v>
      </c>
    </row>
    <row r="17">
      <c r="B17" t="inlineStr">
        <is>
          <t xml:space="preserve">الإجمالي العام</t>
        </is>
      </c>
      <c r="C17">
        <v>32</v>
      </c>
      <c r="D17">
        <v>32</v>
      </c>
    </row>
  </sheetData>
  <pageMargins left="0.7" right="0.7" top="0.75" bottom="0.75" header="0.3" footer="0.3"/>
  <ignoredErrors>
    <ignoredError sqref="C7:C9 D7:D9" calculatedColumn="1"/>
  </ignoredErrors>
  <tableParts count="1">
    <tablePart r:id="rId2"/>
  </tableParts>
</worksheet>
</file>

<file path=xl/worksheets/sheet9.xml><?xml version="1.0" encoding="utf-8"?>
<worksheet xmlns="http://schemas.openxmlformats.org/spreadsheetml/2006/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8CA38-666F-4240-B13A-4C9D4DA686BF}">
  <sheetPr codeName="Sheet12"/>
  <dimension ref="B4:C7"/>
  <sheetViews>
    <sheetView showGridLines="0" workbookViewId="0"/>
  </sheetViews>
  <sheetFormatPr defaultRowHeight="15" x14ac:dyDescent="0.25"/>
  <cols>
    <col min="1" max="1" width="2.85546875" customWidth="1"/>
    <col min="2" max="2" width="26.5703125" bestFit="1" customWidth="1"/>
    <col min="3" max="3" width="20.140625" bestFit="1" customWidth="1"/>
  </cols>
  <sheetData>
    <row r="4" spans="2:3" ht="18.75" x14ac:dyDescent="0.3">
      <c r="B4" s="23" t="inlineStr">
        <is>
          <t xml:space="preserve">المخاطر حسب خيار المعالجة المختار</t>
        </is>
      </c>
    </row>
    <row r="6" spans="2:3" x14ac:dyDescent="0.25">
      <c r="B6" s="43"/>
      <c r="C6" s="43"/>
    </row>
    <row r="7" spans="2:3" x14ac:dyDescent="0.25">
      <c r="B7"/>
      <c r="C7"/>
    </row>
    <row r="8">
      <c r="B8" t="inlineStr">
        <is>
          <t xml:space="preserve">التجنب</t>
        </is>
      </c>
      <c r="C8">
        <v>1</v>
      </c>
    </row>
    <row r="9">
      <c r="B9" t="inlineStr">
        <is>
          <t xml:space="preserve">النقل</t>
        </is>
      </c>
      <c r="C9">
        <v>1</v>
      </c>
    </row>
    <row r="10">
      <c r="B10" t="inlineStr">
        <is>
          <t xml:space="preserve">القبول</t>
        </is>
      </c>
      <c r="C10">
        <v>2</v>
      </c>
    </row>
    <row r="11">
      <c r="B11" t="inlineStr">
        <is>
          <t xml:space="preserve">الإجمالي العام</t>
        </is>
      </c>
      <c r="C11">
        <v>32</v>
      </c>
    </row>
  </sheetData>
  <pageMargins left="0.7" right="0.7" top="0.75" bottom="0.75" header="0.3" footer="0.3"/>
</worksheet>
</file>

<file path=xl/worksheets/sheet10.xml><?xml version="1.0" encoding="utf-8"?>
<worksheet xmlns="http://schemas.openxmlformats.org/spreadsheetml/2006/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772D-2AC3-457E-A7EF-A632D4D1F13C}">
  <sheetPr codeName="Sheet14"/>
  <dimension ref="B4:C7"/>
  <sheetViews>
    <sheetView showGridLines="0" workbookViewId="0"/>
  </sheetViews>
  <sheetFormatPr defaultRowHeight="15" x14ac:dyDescent="0.25"/>
  <cols>
    <col min="1" max="1" width="2.85546875" customWidth="1"/>
    <col min="2" max="2" width="12" bestFit="1" customWidth="1"/>
    <col min="3" max="3" width="21.5703125" bestFit="1" customWidth="1"/>
  </cols>
  <sheetData>
    <row r="4" spans="2:3" ht="18.75" x14ac:dyDescent="0.3">
      <c r="B4" s="23" t="inlineStr">
        <is>
          <t xml:space="preserve">مجموع تكلفة المعالجة حسب مستوى الخطر</t>
        </is>
      </c>
    </row>
    <row r="6" spans="2:3" x14ac:dyDescent="0.25">
      <c r="B6" s="43"/>
      <c r="C6" s="43"/>
    </row>
    <row r="7" spans="2:3" x14ac:dyDescent="0.25">
      <c r="B7"/>
      <c r="C7" s="74"/>
    </row>
    <row r="8">
      <c r="B8" t="inlineStr">
        <is>
          <t xml:space="preserve">متوسط</t>
        </is>
      </c>
      <c r="C8">
        <v>5155000</v>
      </c>
    </row>
    <row r="9">
      <c r="B9" t="inlineStr">
        <is>
          <t xml:space="preserve">مرتفع</t>
        </is>
      </c>
      <c r="C9">
        <v>4490000</v>
      </c>
    </row>
    <row r="10">
      <c r="B10" t="inlineStr">
        <is>
          <t xml:space="preserve">منخفض</t>
        </is>
      </c>
      <c r="C10">
        <v>0</v>
      </c>
    </row>
    <row r="11">
      <c r="B11" t="inlineStr">
        <is>
          <t xml:space="preserve">الإجمالي العام</t>
        </is>
      </c>
      <c r="C11">
        <v>21295000</v>
      </c>
    </row>
  </sheetData>
  <pageMargins left="0.7" right="0.7" top="0.75" bottom="0.75" header="0.3" footer="0.3"/>
</worksheet>
</file>

<file path=xl/worksheets/sheet11.xml><?xml version="1.0" encoding="utf-8"?>
<worksheet xmlns="http://schemas.openxmlformats.org/spreadsheetml/2006/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FCC9-266F-4D65-A4F9-BE191888EFEB}">
  <sheetPr codeName="Sheet15"/>
  <dimension ref="B4:C8"/>
  <sheetViews>
    <sheetView showGridLines="0" workbookViewId="0"/>
  </sheetViews>
  <sheetFormatPr defaultRowHeight="15" x14ac:dyDescent="0.25"/>
  <cols>
    <col min="1" max="1" width="2.85546875" customWidth="1"/>
    <col min="2" max="2" width="31.5703125" bestFit="1" customWidth="1"/>
    <col min="3" max="3" width="12" bestFit="1" customWidth="1"/>
    <col min="4" max="4" width="9.42578125" bestFit="1" customWidth="1"/>
    <col min="5" max="5" width="6" bestFit="1" customWidth="1"/>
    <col min="6" max="6" width="10.28515625" bestFit="1" customWidth="1"/>
    <col min="7" max="7" width="11.28515625" bestFit="1" customWidth="1"/>
  </cols>
  <sheetData>
    <row r="4" spans="2:3" ht="18.75" x14ac:dyDescent="0.3">
      <c r="B4" s="23" t="inlineStr">
        <is>
          <t xml:space="preserve">المخاطر حسب مسؤول إجراء المعالجة</t>
        </is>
      </c>
    </row>
    <row r="6" spans="2:3" x14ac:dyDescent="0.25">
      <c r="B6" s="43"/>
      <c r="C6" s="43"/>
    </row>
    <row r="7" spans="2:3" x14ac:dyDescent="0.25">
      <c r="B7" s="43"/>
      <c r="C7" s="43"/>
      <c r="D7" t="inlineStr">
        <is>
          <t xml:space="preserve">متوسط</t>
        </is>
      </c>
      <c r="E7" t="inlineStr">
        <is>
          <t xml:space="preserve">مرتفع</t>
        </is>
      </c>
      <c r="F7" t="inlineStr">
        <is>
          <t xml:space="preserve">منخفض</t>
        </is>
      </c>
      <c r="G7" t="inlineStr">
        <is>
          <t xml:space="preserve">الإجمالي العام</t>
        </is>
      </c>
    </row>
    <row r="8" spans="2:3" x14ac:dyDescent="0.25">
      <c r="B8"/>
      <c r="C8"/>
      <c r="D8">
        <v>1</v>
      </c>
      <c r="E8">
        <v>1</v>
      </c>
      <c r="F8">
        <v>1</v>
      </c>
      <c r="G8">
        <v>4</v>
      </c>
    </row>
    <row r="9">
      <c r="B9" t="inlineStr">
        <is>
          <t xml:space="preserve">مدير إدارة أمن المعلومات</t>
        </is>
      </c>
      <c r="C9">
        <v>2</v>
      </c>
      <c r="D9">
        <v>2</v>
      </c>
      <c r="E9">
        <v>2</v>
      </c>
      <c r="F9"/>
      <c r="G9">
        <v>6</v>
      </c>
    </row>
    <row r="10">
      <c r="B10" t="inlineStr">
        <is>
          <t xml:space="preserve">رئيس قسم تطوير البرمجيات</t>
        </is>
      </c>
      <c r="C10">
        <v>1</v>
      </c>
      <c r="D10">
        <v>2</v>
      </c>
      <c r="E10">
        <v>1</v>
      </c>
      <c r="F10"/>
      <c r="G10">
        <v>4</v>
      </c>
    </row>
    <row r="11">
      <c r="B11" t="inlineStr">
        <is>
          <t xml:space="preserve">مدير قسم التطبيقات المصرفية</t>
        </is>
      </c>
      <c r="C11"/>
      <c r="D11">
        <v>1</v>
      </c>
      <c r="E11"/>
      <c r="F11"/>
      <c r="G11">
        <v>1</v>
      </c>
    </row>
    <row r="12">
      <c r="B12" t="inlineStr">
        <is>
          <t xml:space="preserve">مدير قسم البنية التحتية والشبكات</t>
        </is>
      </c>
      <c r="C12">
        <v>2</v>
      </c>
      <c r="D12">
        <v>4</v>
      </c>
      <c r="E12">
        <v>1</v>
      </c>
      <c r="F12">
        <v>1</v>
      </c>
      <c r="G12">
        <v>8</v>
      </c>
    </row>
    <row r="13">
      <c r="B13" t="inlineStr">
        <is>
          <t xml:space="preserve">مدير قسم الدعم الفني</t>
        </is>
      </c>
      <c r="C13"/>
      <c r="D13">
        <v>1</v>
      </c>
      <c r="E13">
        <v>1</v>
      </c>
      <c r="F13"/>
      <c r="G13">
        <v>2</v>
      </c>
    </row>
    <row r="14">
      <c r="B14" t="inlineStr">
        <is>
          <t xml:space="preserve">مدير إدارة الموارد البشرية</t>
        </is>
      </c>
      <c r="C14"/>
      <c r="D14">
        <v>1</v>
      </c>
      <c r="E14">
        <v>1</v>
      </c>
      <c r="F14"/>
      <c r="G14">
        <v>2</v>
      </c>
    </row>
    <row r="15">
      <c r="B15" t="inlineStr">
        <is>
          <t xml:space="preserve">مدير إدارة الالتزام والحوكمة</t>
        </is>
      </c>
      <c r="C15"/>
      <c r="D15">
        <v>1</v>
      </c>
      <c r="E15"/>
      <c r="F15"/>
      <c r="G15">
        <v>1</v>
      </c>
    </row>
    <row r="16">
      <c r="B16" t="inlineStr">
        <is>
          <t xml:space="preserve">مدير إدارة الشؤون القانونية</t>
        </is>
      </c>
      <c r="C16"/>
      <c r="D16"/>
      <c r="E16">
        <v>1</v>
      </c>
      <c r="F16"/>
      <c r="G16">
        <v>1</v>
      </c>
    </row>
    <row r="17">
      <c r="B17" t="inlineStr">
        <is>
          <t xml:space="preserve">مدير إدارة العمليات المصرفية</t>
        </is>
      </c>
      <c r="C17"/>
      <c r="D17">
        <v>1</v>
      </c>
      <c r="E17">
        <v>1</v>
      </c>
      <c r="F17"/>
      <c r="G17">
        <v>2</v>
      </c>
    </row>
    <row r="18">
      <c r="B18" t="inlineStr">
        <is>
          <t xml:space="preserve">مدير إدارة المرافق والخدمات العامة</t>
        </is>
      </c>
      <c r="C18"/>
      <c r="D18">
        <v>1</v>
      </c>
      <c r="E18"/>
      <c r="F18"/>
      <c r="G18">
        <v>1</v>
      </c>
    </row>
    <row r="19">
      <c r="B19" t="inlineStr">
        <is>
          <t xml:space="preserve">الإجمالي العام</t>
        </is>
      </c>
      <c r="C19">
        <v>6</v>
      </c>
      <c r="D19">
        <v>15</v>
      </c>
      <c r="E19">
        <v>9</v>
      </c>
      <c r="F19">
        <v>2</v>
      </c>
      <c r="G19">
        <v>32</v>
      </c>
    </row>
  </sheetData>
  <pageMargins left="0.7" right="0.7" top="0.75" bottom="0.75" header="0.3" footer="0.3"/>
</worksheet>
</file>

<file path=xl/worksheets/sheet1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3B94-1D21-432F-9D4F-7C6E36743EA3}">
  <sheetPr codeName="Sheet16"/>
  <dimension ref="A2:C264"/>
  <sheetViews>
    <sheetView showGridLines="0" zoomScaleNormal="100" workbookViewId="0"/>
  </sheetViews>
  <sheetFormatPr defaultColWidth="9.140625" defaultRowHeight="15" x14ac:dyDescent="0.25"/>
  <cols>
    <col min="1" max="1" width="2.85546875" style="3" customWidth="1"/>
    <col min="2" max="2" width="103" style="3" customWidth="1"/>
    <col min="3" max="3" width="10" style="3" customWidth="1"/>
    <col min="4" max="16384" width="9.140625" style="3"/>
  </cols>
  <sheetData>
    <row r="2" spans="2:3" x14ac:dyDescent="0.25">
      <c r="B2" s="4"/>
    </row>
    <row r="3" spans="2:3" x14ac:dyDescent="0.25">
      <c r="B3" s="4"/>
    </row>
    <row r="4" spans="2:3" x14ac:dyDescent="0.25">
      <c r="B4" s="4"/>
    </row>
    <row r="5" spans="2:3" x14ac:dyDescent="0.25">
      <c r="B5" s="4"/>
    </row>
    <row r="6" spans="2:3" x14ac:dyDescent="0.25">
      <c r="B6" s="4"/>
    </row>
    <row r="7" spans="2:3" x14ac:dyDescent="0.25">
      <c r="B7" s="4"/>
    </row>
    <row r="8" spans="2:3" ht="21" x14ac:dyDescent="0.25">
      <c r="B8" s="10" t="inlineStr">
        <is>
          <t xml:space="preserve">ضوابط الملحق A المرجعية - ISO/IEC 27001:2022</t>
        </is>
      </c>
      <c r="C8" s="11"/>
    </row>
    <row r="9" spans="2:3" x14ac:dyDescent="0.25">
      <c r="B9" s="11" t="inlineStr">
        <is>
          <t xml:space="preserve">تُستخدم هذه القائمة مرجعاً لربط كل خطر في سجل المخاطر بالضابط أو الضوابط المقابلة من الملحق A، وهي القائمة نفسها المعتمدة في بيان قابلية التطبيق (ISMS-FORM-06-2).</t>
        </is>
      </c>
      <c r="C9" s="11"/>
    </row>
    <row r="10" spans="2:3" x14ac:dyDescent="0.25">
      <c r="B10" s="11"/>
      <c r="C10" s="11"/>
    </row>
    <row r="11" spans="2:3" ht="21" customHeight="1" x14ac:dyDescent="0.25">
      <c r="B11" s="30" t="inlineStr">
        <is>
          <t xml:space="preserve"> المرجع</t>
        </is>
      </c>
    </row>
    <row r="13" spans="2:3" ht="18.75" x14ac:dyDescent="0.25">
      <c r="B13" s="29" t="inlineStr">
        <is>
          <t xml:space="preserve">الضوابط التنظيمية (A.5 Organizational controls)</t>
        </is>
      </c>
    </row>
    <row r="14" spans="2:3" ht="18" customHeight="1" x14ac:dyDescent="0.25">
      <c r="B14" s="2" t="inlineStr">
        <is>
          <t xml:space="preserve">A.5.1 سياسات أمن المعلومات</t>
        </is>
      </c>
    </row>
    <row r="15" spans="2:3" x14ac:dyDescent="0.25">
      <c r="B15" s="2" t="inlineStr">
        <is>
          <t xml:space="preserve">A.5.2 أدوار ومسؤوليات أمن المعلومات</t>
        </is>
      </c>
    </row>
    <row r="16" spans="2:3" x14ac:dyDescent="0.25">
      <c r="B16" s="2" t="inlineStr">
        <is>
          <t xml:space="preserve">A.5.3 فصل المهام</t>
        </is>
      </c>
    </row>
    <row r="17" spans="2:2" x14ac:dyDescent="0.25">
      <c r="B17" s="2" t="inlineStr">
        <is>
          <t xml:space="preserve">A.5.4 مسؤوليات الإدارة</t>
        </is>
      </c>
    </row>
    <row r="18" spans="2:2" x14ac:dyDescent="0.25">
      <c r="B18" s="2" t="inlineStr">
        <is>
          <t xml:space="preserve">A.5.5 التواصل مع السلطات</t>
        </is>
      </c>
    </row>
    <row r="19" spans="2:2" x14ac:dyDescent="0.25">
      <c r="B19" s="2" t="inlineStr">
        <is>
          <t xml:space="preserve">A.5.6 التواصل مع مجموعات الاهتمام الخاص</t>
        </is>
      </c>
    </row>
    <row r="20" spans="2:2" x14ac:dyDescent="0.25">
      <c r="B20" s="2" t="inlineStr">
        <is>
          <t xml:space="preserve">A.5.7 معلومات التهديدات (Threat Intelligence)</t>
        </is>
      </c>
    </row>
    <row r="21" spans="2:2" x14ac:dyDescent="0.25">
      <c r="B21" s="2" t="inlineStr">
        <is>
          <t xml:space="preserve">A.5.8 أمن المعلومات في إدارة المشاريع</t>
        </is>
      </c>
    </row>
    <row r="22" spans="2:2" x14ac:dyDescent="0.25">
      <c r="B22" s="2" t="inlineStr">
        <is>
          <t xml:space="preserve">A.5.9 جرد المعلومات والأصول المرتبطة بها</t>
        </is>
      </c>
    </row>
    <row r="23" spans="2:2" x14ac:dyDescent="0.25">
      <c r="B23" s="2" t="inlineStr">
        <is>
          <t xml:space="preserve">A.5.10 الاستخدام المقبول للمعلومات والأصول</t>
        </is>
      </c>
    </row>
    <row r="24" spans="2:2" x14ac:dyDescent="0.25">
      <c r="B24" s="2" t="inlineStr">
        <is>
          <t xml:space="preserve">A.5.11 إعادة الأصول</t>
        </is>
      </c>
    </row>
    <row r="25" spans="2:2" x14ac:dyDescent="0.25">
      <c r="B25" s="2" t="inlineStr">
        <is>
          <t xml:space="preserve">A.5.12 تصنيف المعلومات</t>
        </is>
      </c>
    </row>
    <row r="26" spans="2:2" x14ac:dyDescent="0.25">
      <c r="B26" s="2" t="inlineStr">
        <is>
          <t xml:space="preserve">A.5.13 وضع العلامات على المعلومات</t>
        </is>
      </c>
    </row>
    <row r="27" spans="2:2" x14ac:dyDescent="0.25">
      <c r="B27" s="2" t="inlineStr">
        <is>
          <t xml:space="preserve">A.5.14 نقل المعلومات</t>
        </is>
      </c>
    </row>
    <row r="28" spans="2:2" x14ac:dyDescent="0.25">
      <c r="B28" s="2" t="inlineStr">
        <is>
          <t xml:space="preserve">A.5.15 التحكم في الوصول</t>
        </is>
      </c>
    </row>
    <row r="29" spans="2:2" x14ac:dyDescent="0.25">
      <c r="B29" s="2" t="inlineStr">
        <is>
          <t xml:space="preserve">A.5.16 إدارة الهوية</t>
        </is>
      </c>
    </row>
    <row r="30" spans="2:2" x14ac:dyDescent="0.25">
      <c r="B30" s="2" t="inlineStr">
        <is>
          <t xml:space="preserve">A.5.17 معلومات المصادقة</t>
        </is>
      </c>
    </row>
    <row r="31" spans="2:2" x14ac:dyDescent="0.25">
      <c r="B31" s="2" t="inlineStr">
        <is>
          <t xml:space="preserve">A.5.18 حقوق الوصول</t>
        </is>
      </c>
    </row>
    <row r="32" spans="2:2" x14ac:dyDescent="0.25">
      <c r="B32" s="2" t="inlineStr">
        <is>
          <t xml:space="preserve">A.5.19 أمن المعلومات في علاقات الموردين</t>
        </is>
      </c>
    </row>
    <row r="33" spans="2:2" x14ac:dyDescent="0.25">
      <c r="B33" s="2" t="inlineStr">
        <is>
          <t xml:space="preserve">A.5.20 معالجة أمن المعلومات ضمن اتفاقيات الموردين</t>
        </is>
      </c>
    </row>
    <row r="34" spans="2:2" x14ac:dyDescent="0.25">
      <c r="B34" s="2" t="inlineStr">
        <is>
          <t xml:space="preserve">A.5.21 إدارة أمن المعلومات في سلسلة توريد تقنية المعلومات</t>
        </is>
      </c>
    </row>
    <row r="35" spans="2:2" x14ac:dyDescent="0.25">
      <c r="B35" s="2" t="inlineStr">
        <is>
          <t xml:space="preserve">A.5.22 مراقبة ومراجعة وإدارة تغييرات خدمات الموردين</t>
        </is>
      </c>
    </row>
    <row r="36" spans="2:2" x14ac:dyDescent="0.25">
      <c r="B36" s="2" t="inlineStr">
        <is>
          <t xml:space="preserve">A.5.23 أمن المعلومات عند استخدام الخدمات السحابية</t>
        </is>
      </c>
    </row>
    <row r="37" spans="2:2" x14ac:dyDescent="0.25">
      <c r="B37" s="2" t="inlineStr">
        <is>
          <t xml:space="preserve">A.5.24 تخطيط وإعداد إدارة حوادث أمن المعلومات</t>
        </is>
      </c>
    </row>
    <row r="38" spans="2:2" x14ac:dyDescent="0.25">
      <c r="B38" s="2" t="inlineStr">
        <is>
          <t xml:space="preserve">A.5.25 تقييم الأحداث الأمنية واتخاذ القرار بشأنها</t>
        </is>
      </c>
    </row>
    <row r="39" spans="2:2" x14ac:dyDescent="0.25">
      <c r="B39" s="2" t="inlineStr">
        <is>
          <t xml:space="preserve">A.5.26 الاستجابة لحوادث أمن المعلومات</t>
        </is>
      </c>
    </row>
    <row r="40" spans="2:2" ht="18.75" customHeight="1" x14ac:dyDescent="0.25">
      <c r="B40" s="2" t="inlineStr">
        <is>
          <t xml:space="preserve">A.5.27 التعلم من حوادث أمن المعلومات</t>
        </is>
      </c>
    </row>
    <row r="41" spans="2:2" x14ac:dyDescent="0.25">
      <c r="B41" s="2" t="inlineStr">
        <is>
          <t xml:space="preserve">A.5.28 جمع الأدلة</t>
        </is>
      </c>
    </row>
    <row r="42" spans="2:2" x14ac:dyDescent="0.25">
      <c r="B42" s="2" t="inlineStr">
        <is>
          <t xml:space="preserve">A.5.29 أمن المعلومات أثناء الانقطاع</t>
        </is>
      </c>
    </row>
    <row r="43" spans="2:2" x14ac:dyDescent="0.25">
      <c r="B43" s="2" t="inlineStr">
        <is>
          <t xml:space="preserve">A.5.30 جاهزية تقنية المعلومات والاتصالات لاستمرارية الأعمال</t>
        </is>
      </c>
    </row>
    <row r="44" spans="2:2" x14ac:dyDescent="0.25">
      <c r="B44" s="2" t="inlineStr">
        <is>
          <t xml:space="preserve">A.5.31 المتطلبات القانونية والنظامية والتنظيمية والتعاقدية</t>
        </is>
      </c>
    </row>
    <row r="45" spans="2:2" x14ac:dyDescent="0.25">
      <c r="B45" s="2" t="inlineStr">
        <is>
          <t xml:space="preserve">A.5.32 حقوق الملكية الفكرية</t>
        </is>
      </c>
    </row>
    <row r="46" spans="2:2" x14ac:dyDescent="0.25">
      <c r="B46" s="2" t="inlineStr">
        <is>
          <t xml:space="preserve">A.5.33 حماية السجلات</t>
        </is>
      </c>
    </row>
    <row r="47" spans="2:2" x14ac:dyDescent="0.25">
      <c r="B47" s="2" t="inlineStr">
        <is>
          <t xml:space="preserve">A.5.34 الخصوصية وحماية المعلومات الشخصية (PII)</t>
        </is>
      </c>
    </row>
    <row r="48" spans="2:2" x14ac:dyDescent="0.25">
      <c r="B48" s="2" t="inlineStr">
        <is>
          <t xml:space="preserve">A.5.35 المراجعة المستقلة لأمن المعلومات</t>
        </is>
      </c>
    </row>
    <row r="49" spans="1:2" x14ac:dyDescent="0.25">
      <c r="B49" s="2" t="inlineStr">
        <is>
          <t xml:space="preserve">A.5.36 الامتثال لسياسات وقواعد ومعايير أمن المعلومات</t>
        </is>
      </c>
    </row>
    <row r="50" spans="1:2" x14ac:dyDescent="0.25">
      <c r="B50" s="2" t="inlineStr">
        <is>
          <t xml:space="preserve">A.5.37 إجراءات التشغيل الموثقة</t>
        </is>
      </c>
    </row>
    <row r="51" spans="1:2" x14ac:dyDescent="0.25">
      <c r="B51" s="7"/>
    </row>
    <row r="52" spans="1:2" ht="18.75" x14ac:dyDescent="0.25">
      <c r="B52" s="29" t="inlineStr">
        <is>
          <t xml:space="preserve">ضوابط الأشخاص (A.6 People controls)</t>
        </is>
      </c>
    </row>
    <row r="53" spans="1:2" x14ac:dyDescent="0.25">
      <c r="B53" s="2" t="inlineStr">
        <is>
          <t xml:space="preserve">A.6.1 الفحص والتدقيق الأمني قبل التوظيف</t>
        </is>
      </c>
    </row>
    <row r="54" spans="1:2" x14ac:dyDescent="0.25">
      <c r="B54" s="2" t="inlineStr">
        <is>
          <t xml:space="preserve">A.6.2 شروط وأحكام التوظيف</t>
        </is>
      </c>
    </row>
    <row r="55" spans="1:2" x14ac:dyDescent="0.25">
      <c r="B55" s="2" t="inlineStr">
        <is>
          <t xml:space="preserve">A.6.3 التوعية والتثقيف والتدريب على أمن المعلومات</t>
        </is>
      </c>
    </row>
    <row r="56" spans="1:2" x14ac:dyDescent="0.25">
      <c r="B56" s="2" t="inlineStr">
        <is>
          <t xml:space="preserve">A.6.4 الإجراءات التأديبية</t>
        </is>
      </c>
    </row>
    <row r="57" spans="1:2" x14ac:dyDescent="0.25">
      <c r="B57" s="2" t="inlineStr">
        <is>
          <t xml:space="preserve">A.6.5 المسؤوليات بعد إنهاء أو تغيير التوظيف</t>
        </is>
      </c>
    </row>
    <row r="58" spans="1:2" x14ac:dyDescent="0.25">
      <c r="B58" s="2" t="inlineStr">
        <is>
          <t xml:space="preserve">A.6.6 اتفاقيات السرية وعدم الإفصاح</t>
        </is>
      </c>
    </row>
    <row r="59" spans="1:2" x14ac:dyDescent="0.25">
      <c r="B59" s="2" t="inlineStr">
        <is>
          <t xml:space="preserve">A.6.7 العمل عن بُعد</t>
        </is>
      </c>
    </row>
    <row r="60" spans="1:2" x14ac:dyDescent="0.25">
      <c r="B60" s="2" t="inlineStr">
        <is>
          <t xml:space="preserve">A.6.8 الإبلاغ عن الأحداث الأمنية</t>
        </is>
      </c>
    </row>
    <row r="61" spans="1:2" x14ac:dyDescent="0.25">
      <c r="B61" s="7"/>
    </row>
    <row r="62" spans="1:2" ht="18.75" x14ac:dyDescent="0.25">
      <c r="B62" s="29" t="inlineStr">
        <is>
          <t xml:space="preserve">الضوابط المادية (A.7 Physical controls)</t>
        </is>
      </c>
    </row>
    <row r="63" spans="1:2" x14ac:dyDescent="0.25">
      <c r="B63" s="2" t="inlineStr">
        <is>
          <t xml:space="preserve">A.7.1 حدود الأمن المادي</t>
        </is>
      </c>
    </row>
    <row r="64" spans="1:2" ht="15.75" x14ac:dyDescent="0.25">
      <c r="A64" s="22"/>
      <c r="B64" s="2" t="inlineStr">
        <is>
          <t xml:space="preserve">A.7.2 الدخول المادي</t>
        </is>
      </c>
    </row>
    <row r="65" spans="2:2" x14ac:dyDescent="0.25">
      <c r="B65" s="2" t="inlineStr">
        <is>
          <t xml:space="preserve">A.7.3 تأمين المكاتب والغرف والمرافق</t>
        </is>
      </c>
    </row>
    <row r="66" spans="2:2" x14ac:dyDescent="0.25">
      <c r="B66" s="2" t="inlineStr">
        <is>
          <t xml:space="preserve">A.7.4 مراقبة الأمن المادي</t>
        </is>
      </c>
    </row>
    <row r="67" spans="2:2" x14ac:dyDescent="0.25">
      <c r="B67" s="2" t="inlineStr">
        <is>
          <t xml:space="preserve">A.7.5 الحماية من التهديدات المادية والبيئية</t>
        </is>
      </c>
    </row>
    <row r="68" spans="2:2" x14ac:dyDescent="0.25">
      <c r="B68" s="2" t="inlineStr">
        <is>
          <t xml:space="preserve">A.7.6 العمل في المناطق الآمنة</t>
        </is>
      </c>
    </row>
    <row r="69" spans="2:2" x14ac:dyDescent="0.25">
      <c r="B69" s="2" t="inlineStr">
        <is>
          <t xml:space="preserve">A.7.7 سياسة المكتب النظيف والشاشة النظيفة</t>
        </is>
      </c>
    </row>
    <row r="70" spans="2:2" x14ac:dyDescent="0.25">
      <c r="B70" s="2" t="inlineStr">
        <is>
          <t xml:space="preserve">A.7.8 تموضع المعدات وحمايتها</t>
        </is>
      </c>
    </row>
    <row r="71" spans="2:2" x14ac:dyDescent="0.25">
      <c r="B71" s="2" t="inlineStr">
        <is>
          <t xml:space="preserve">A.7.9 أمن الأصول خارج المواقع</t>
        </is>
      </c>
    </row>
    <row r="72" spans="2:2" x14ac:dyDescent="0.25">
      <c r="B72" s="2" t="inlineStr">
        <is>
          <t xml:space="preserve">A.7.10 وسائط التخزين</t>
        </is>
      </c>
    </row>
    <row r="73" spans="2:2" ht="16.5" customHeight="1" x14ac:dyDescent="0.25">
      <c r="B73" s="2" t="inlineStr">
        <is>
          <t xml:space="preserve">A.7.11 المرافق المساندة</t>
        </is>
      </c>
    </row>
    <row r="74" spans="2:2" x14ac:dyDescent="0.25">
      <c r="B74" s="2" t="inlineStr">
        <is>
          <t xml:space="preserve">A.7.12 أمن الكابلات</t>
        </is>
      </c>
    </row>
    <row r="75" spans="2:2" x14ac:dyDescent="0.25">
      <c r="B75" s="2" t="inlineStr">
        <is>
          <t xml:space="preserve">A.7.13 صيانة المعدات</t>
        </is>
      </c>
    </row>
    <row r="76" spans="2:2" x14ac:dyDescent="0.25">
      <c r="B76" s="2" t="inlineStr">
        <is>
          <t xml:space="preserve">A.7.14 التخلص الآمن من المعدات أو إعادة استخدامها</t>
        </is>
      </c>
    </row>
    <row r="77" spans="2:2" ht="15.75" x14ac:dyDescent="0.25">
      <c r="B77" s="31"/>
    </row>
    <row r="78" spans="2:2" ht="18.75" x14ac:dyDescent="0.25">
      <c r="B78" s="29" t="inlineStr">
        <is>
          <t xml:space="preserve">الضوابط التقنية (A.8 Technological controls)</t>
        </is>
      </c>
    </row>
    <row r="79" spans="2:2" x14ac:dyDescent="0.25">
      <c r="B79" s="2" t="inlineStr">
        <is>
          <t xml:space="preserve">A.8.1 أجهزة المستخدم النهائي</t>
        </is>
      </c>
    </row>
    <row r="80" spans="2:2" x14ac:dyDescent="0.25">
      <c r="B80" s="2" t="inlineStr">
        <is>
          <t xml:space="preserve">A.8.2 حقوق الوصول المميّزة</t>
        </is>
      </c>
    </row>
    <row r="81" spans="2:2" x14ac:dyDescent="0.25">
      <c r="B81" s="2" t="inlineStr">
        <is>
          <t xml:space="preserve">A.8.3 تقييد الوصول إلى المعلومات</t>
        </is>
      </c>
    </row>
    <row r="82" spans="2:2" x14ac:dyDescent="0.25">
      <c r="B82" s="2" t="inlineStr">
        <is>
          <t xml:space="preserve">A.8.4 الوصول إلى الكود المصدري</t>
        </is>
      </c>
    </row>
    <row r="83" spans="2:2" x14ac:dyDescent="0.25">
      <c r="B83" s="2" t="inlineStr">
        <is>
          <t xml:space="preserve">A.8.5 المصادقة الآمنة</t>
        </is>
      </c>
    </row>
    <row r="84" spans="2:2" x14ac:dyDescent="0.25">
      <c r="B84" s="2" t="inlineStr">
        <is>
          <t xml:space="preserve">A.8.6 إدارة السعة</t>
        </is>
      </c>
    </row>
    <row r="85" spans="2:2" x14ac:dyDescent="0.25">
      <c r="B85" s="2" t="inlineStr">
        <is>
          <t xml:space="preserve">A.8.7 الحماية من البرمجيات الخبيثة</t>
        </is>
      </c>
    </row>
    <row r="86" spans="2:2" x14ac:dyDescent="0.25">
      <c r="B86" s="2" t="inlineStr">
        <is>
          <t xml:space="preserve">A.8.8 إدارة الثغرات التقنية</t>
        </is>
      </c>
    </row>
    <row r="87" spans="2:2" x14ac:dyDescent="0.25">
      <c r="B87" s="2" t="inlineStr">
        <is>
          <t xml:space="preserve">A.8.9 إدارة التكوينات</t>
        </is>
      </c>
    </row>
    <row r="88" spans="2:2" x14ac:dyDescent="0.25">
      <c r="B88" s="2" t="inlineStr">
        <is>
          <t xml:space="preserve">A.8.10 حذف المعلومات</t>
        </is>
      </c>
    </row>
    <row r="89" spans="2:2" x14ac:dyDescent="0.25">
      <c r="B89" s="2" t="inlineStr">
        <is>
          <t xml:space="preserve">A.8.11 إخفاء البيانات (Data Masking)</t>
        </is>
      </c>
    </row>
    <row r="90" spans="2:2" x14ac:dyDescent="0.25">
      <c r="B90" s="2" t="inlineStr">
        <is>
          <t xml:space="preserve">A.8.12 منع تسرب البيانات (DLP)</t>
        </is>
      </c>
    </row>
    <row r="91" spans="2:2" x14ac:dyDescent="0.25">
      <c r="B91" s="2" t="inlineStr">
        <is>
          <t xml:space="preserve">A.8.13 النسخ الاحتياطي للمعلومات</t>
        </is>
      </c>
    </row>
    <row r="92" spans="2:2" x14ac:dyDescent="0.25">
      <c r="B92" s="2" t="inlineStr">
        <is>
          <t xml:space="preserve">A.8.14 التكرارية في مرافق معالجة المعلومات</t>
        </is>
      </c>
    </row>
    <row r="93" spans="2:2" x14ac:dyDescent="0.25">
      <c r="B93" s="2" t="inlineStr">
        <is>
          <t xml:space="preserve">A.8.15 تسجيل الأحداث (Logging)</t>
        </is>
      </c>
    </row>
    <row r="94" spans="2:2" x14ac:dyDescent="0.25">
      <c r="B94" s="2" t="inlineStr">
        <is>
          <t xml:space="preserve">A.8.16 أنشطة المراقبة</t>
        </is>
      </c>
    </row>
    <row r="95" spans="2:2" x14ac:dyDescent="0.25">
      <c r="B95" s="2" t="inlineStr">
        <is>
          <t xml:space="preserve">A.8.17 مزامنة الساعة</t>
        </is>
      </c>
    </row>
    <row r="96" spans="2:2" x14ac:dyDescent="0.25">
      <c r="B96" s="2" t="inlineStr">
        <is>
          <t xml:space="preserve">A.8.18 استخدام البرامج الإدارية المميّزة</t>
        </is>
      </c>
    </row>
    <row r="97" spans="2:2" x14ac:dyDescent="0.25">
      <c r="B97" s="2" t="inlineStr">
        <is>
          <t xml:space="preserve">A.8.19 تثبيت البرمجيات على الأنظمة التشغيلية</t>
        </is>
      </c>
    </row>
    <row r="98" spans="2:2" x14ac:dyDescent="0.25">
      <c r="B98" s="2" t="inlineStr">
        <is>
          <t xml:space="preserve">A.8.20 أمن الشبكات</t>
        </is>
      </c>
    </row>
    <row r="99" spans="2:2" x14ac:dyDescent="0.25">
      <c r="B99" s="2" t="inlineStr">
        <is>
          <t xml:space="preserve">A.8.21 أمن خدمات الشبكة</t>
        </is>
      </c>
    </row>
    <row r="100" spans="2:2" x14ac:dyDescent="0.25">
      <c r="B100" s="2" t="inlineStr">
        <is>
          <t xml:space="preserve">A.8.22 تجزئة الشبكات</t>
        </is>
      </c>
    </row>
    <row r="101" spans="2:2" ht="15" customHeight="1" x14ac:dyDescent="0.25">
      <c r="B101" s="2" t="inlineStr">
        <is>
          <t xml:space="preserve">A.8.23 تصفية الويب</t>
        </is>
      </c>
    </row>
    <row r="102" spans="2:2" x14ac:dyDescent="0.25">
      <c r="B102" s="2" t="inlineStr">
        <is>
          <t xml:space="preserve">A.8.24 استخدام التشفير</t>
        </is>
      </c>
    </row>
    <row r="103" spans="2:2" x14ac:dyDescent="0.25">
      <c r="B103" s="2" t="inlineStr">
        <is>
          <t xml:space="preserve">A.8.25 دورة حياة التطوير الآمن</t>
        </is>
      </c>
    </row>
    <row r="104" spans="2:2" x14ac:dyDescent="0.25">
      <c r="B104" s="2" t="inlineStr">
        <is>
          <t xml:space="preserve">A.8.26 متطلبات أمن التطبيقات</t>
        </is>
      </c>
    </row>
    <row r="105" spans="2:2" x14ac:dyDescent="0.25">
      <c r="B105" s="2" t="inlineStr">
        <is>
          <t xml:space="preserve">A.8.27 مبادئ هندسة ومعمارية الأنظمة الآمنة</t>
        </is>
      </c>
    </row>
    <row r="106" spans="2:2" x14ac:dyDescent="0.25">
      <c r="B106" s="2" t="inlineStr">
        <is>
          <t xml:space="preserve">A.8.28 الترميز الآمن</t>
        </is>
      </c>
    </row>
    <row r="107" spans="2:2" x14ac:dyDescent="0.25">
      <c r="B107" s="2" t="inlineStr">
        <is>
          <t xml:space="preserve">A.8.29 اختبارات الأمان في التطوير والقبول</t>
        </is>
      </c>
    </row>
    <row r="108" spans="2:2" x14ac:dyDescent="0.25">
      <c r="B108" s="2" t="inlineStr">
        <is>
          <t xml:space="preserve">A.8.30 التطوير المُستعان به من الخارج</t>
        </is>
      </c>
    </row>
    <row r="109" spans="2:2" x14ac:dyDescent="0.25">
      <c r="B109" s="2" t="inlineStr">
        <is>
          <t xml:space="preserve">A.8.31 فصل بيئات التطوير والاختبار والإنتاج</t>
        </is>
      </c>
    </row>
    <row r="110" spans="2:2" x14ac:dyDescent="0.25">
      <c r="B110" s="2" t="inlineStr">
        <is>
          <t xml:space="preserve">A.8.32 إدارة التغيير</t>
        </is>
      </c>
    </row>
    <row r="111" spans="2:2" x14ac:dyDescent="0.25">
      <c r="B111" s="2" t="inlineStr">
        <is>
          <t xml:space="preserve">A.8.33 معلومات الاختبار</t>
        </is>
      </c>
    </row>
    <row r="112" spans="2:2" x14ac:dyDescent="0.25">
      <c r="B112" s="2" t="inlineStr">
        <is>
          <t xml:space="preserve">A.8.34 حماية أنظمة المعلومات أثناء اختبارات التدقيق</t>
        </is>
      </c>
    </row>
    <row r="113" spans="2:2" x14ac:dyDescent="0.25">
      <c r="B113" s="7"/>
    </row>
    <row r="114" spans="2:2" ht="15.75" thickBot="1" x14ac:dyDescent="0.3">
      <c r="B114" s="101"/>
    </row>
    <row r="115" spans="2:2" x14ac:dyDescent="0.25">
      <c r="B115" s="7"/>
    </row>
    <row r="116" spans="2:2" ht="18.75" x14ac:dyDescent="0.25">
      <c r="B116" s="32"/>
    </row>
    <row r="117" spans="2:2" ht="15.75" x14ac:dyDescent="0.25">
      <c r="B117" s="31"/>
    </row>
    <row r="118" spans="2:2" x14ac:dyDescent="0.25">
      <c r="B118" s="7"/>
    </row>
    <row r="119" spans="2:2" x14ac:dyDescent="0.25">
      <c r="B119" s="7"/>
    </row>
    <row r="120" spans="2:2" x14ac:dyDescent="0.25">
      <c r="B120" s="7"/>
    </row>
    <row r="121" spans="2:2" ht="15" customHeight="1" x14ac:dyDescent="0.25">
      <c r="B121" s="7"/>
    </row>
    <row r="122" spans="2:2" x14ac:dyDescent="0.25">
      <c r="B122" s="7"/>
    </row>
    <row r="123" spans="2:2" x14ac:dyDescent="0.25">
      <c r="B123" s="7"/>
    </row>
    <row r="124" spans="2:2" ht="15.75" x14ac:dyDescent="0.25">
      <c r="B124" s="31"/>
    </row>
    <row r="125" spans="2:2" x14ac:dyDescent="0.25">
      <c r="B125" s="7"/>
    </row>
    <row r="126" spans="2:2" x14ac:dyDescent="0.25">
      <c r="B126" s="7"/>
    </row>
    <row r="127" spans="2:2" ht="15.75" x14ac:dyDescent="0.25">
      <c r="B127" s="31"/>
    </row>
    <row r="128" spans="2:2" x14ac:dyDescent="0.25">
      <c r="B128" s="7"/>
    </row>
    <row r="129" spans="2:2" x14ac:dyDescent="0.25">
      <c r="B129" s="7"/>
    </row>
    <row r="130" spans="2:2" ht="15.75" x14ac:dyDescent="0.25">
      <c r="B130" s="31"/>
    </row>
    <row r="131" spans="2:2" x14ac:dyDescent="0.25">
      <c r="B131" s="7"/>
    </row>
    <row r="132" spans="2:2" x14ac:dyDescent="0.25">
      <c r="B132" s="7"/>
    </row>
    <row r="133" spans="2:2" x14ac:dyDescent="0.25">
      <c r="B133" s="7"/>
    </row>
    <row r="134" spans="2:2" x14ac:dyDescent="0.25">
      <c r="B134" s="7"/>
    </row>
    <row r="135" spans="2:2" x14ac:dyDescent="0.25">
      <c r="B135" s="7"/>
    </row>
    <row r="136" spans="2:2" x14ac:dyDescent="0.25">
      <c r="B136" s="7"/>
    </row>
    <row r="137" spans="2:2" ht="15.75" x14ac:dyDescent="0.25">
      <c r="B137" s="31"/>
    </row>
    <row r="138" spans="2:2" x14ac:dyDescent="0.25">
      <c r="B138" s="7"/>
    </row>
    <row r="139" spans="2:2" x14ac:dyDescent="0.25">
      <c r="B139" s="7"/>
    </row>
    <row r="140" spans="2:2" ht="15.75" x14ac:dyDescent="0.25">
      <c r="B140" s="31"/>
    </row>
    <row r="141" spans="2:2" x14ac:dyDescent="0.25">
      <c r="B141" s="7"/>
    </row>
    <row r="142" spans="2:2" x14ac:dyDescent="0.25">
      <c r="B142" s="7"/>
    </row>
    <row r="143" spans="2:2" x14ac:dyDescent="0.25">
      <c r="B143" s="7"/>
    </row>
    <row r="144" spans="2:2" ht="15.75" x14ac:dyDescent="0.25">
      <c r="B144" s="31"/>
    </row>
    <row r="145" spans="2:2" x14ac:dyDescent="0.25">
      <c r="B145" s="7"/>
    </row>
    <row r="146" spans="2:2" x14ac:dyDescent="0.25">
      <c r="B146" s="7"/>
    </row>
    <row r="147" spans="2:2" ht="18.75" x14ac:dyDescent="0.25">
      <c r="B147" s="32"/>
    </row>
    <row r="148" spans="2:2" ht="15.75" x14ac:dyDescent="0.25">
      <c r="B148" s="31"/>
    </row>
    <row r="149" spans="2:2" x14ac:dyDescent="0.25">
      <c r="B149" s="7"/>
    </row>
    <row r="150" spans="2:2" x14ac:dyDescent="0.25">
      <c r="B150" s="7"/>
    </row>
    <row r="151" spans="2:2" x14ac:dyDescent="0.25">
      <c r="B151" s="7"/>
    </row>
    <row r="152" spans="2:2" ht="15" customHeight="1" x14ac:dyDescent="0.25">
      <c r="B152" s="7"/>
    </row>
    <row r="153" spans="2:2" ht="15" customHeight="1" x14ac:dyDescent="0.25">
      <c r="B153" s="7"/>
    </row>
    <row r="154" spans="2:2" ht="15.75" x14ac:dyDescent="0.25">
      <c r="B154" s="31"/>
    </row>
    <row r="155" spans="2:2" x14ac:dyDescent="0.25">
      <c r="B155" s="7"/>
    </row>
    <row r="156" spans="2:2" x14ac:dyDescent="0.25">
      <c r="B156" s="7"/>
    </row>
    <row r="157" spans="2:2" x14ac:dyDescent="0.25">
      <c r="B157" s="7"/>
    </row>
    <row r="158" spans="2:2" x14ac:dyDescent="0.25">
      <c r="B158" s="7"/>
    </row>
    <row r="159" spans="2:2" x14ac:dyDescent="0.25">
      <c r="B159" s="7"/>
    </row>
    <row r="160" spans="2:2" ht="18.75" x14ac:dyDescent="0.25">
      <c r="B160" s="33"/>
    </row>
    <row r="161" spans="2:2" ht="15.75" x14ac:dyDescent="0.25">
      <c r="B161" s="31"/>
    </row>
    <row r="162" spans="2:2" ht="15" customHeight="1" x14ac:dyDescent="0.25">
      <c r="B162" s="7"/>
    </row>
    <row r="163" spans="2:2" x14ac:dyDescent="0.25">
      <c r="B163" s="7"/>
    </row>
    <row r="164" spans="2:2" x14ac:dyDescent="0.25">
      <c r="B164" s="7"/>
    </row>
    <row r="165" spans="2:2" x14ac:dyDescent="0.25">
      <c r="B165" s="7"/>
    </row>
    <row r="166" spans="2:2" ht="15.75" x14ac:dyDescent="0.25">
      <c r="B166" s="31"/>
    </row>
    <row r="167" spans="2:2" x14ac:dyDescent="0.25">
      <c r="B167" s="7"/>
    </row>
    <row r="168" spans="2:2" x14ac:dyDescent="0.25">
      <c r="B168" s="7"/>
    </row>
    <row r="169" spans="2:2" ht="15" customHeight="1" x14ac:dyDescent="0.25">
      <c r="B169" s="7"/>
    </row>
    <row r="170" spans="2:2" x14ac:dyDescent="0.25">
      <c r="B170" s="7"/>
    </row>
    <row r="171" spans="2:2" x14ac:dyDescent="0.25">
      <c r="B171" s="7"/>
    </row>
    <row r="172" spans="2:2" x14ac:dyDescent="0.25">
      <c r="B172" s="7"/>
    </row>
    <row r="173" spans="2:2" x14ac:dyDescent="0.25">
      <c r="B173" s="7"/>
    </row>
    <row r="174" spans="2:2" x14ac:dyDescent="0.25">
      <c r="B174" s="7"/>
    </row>
    <row r="175" spans="2:2" x14ac:dyDescent="0.25">
      <c r="B175" s="7"/>
    </row>
    <row r="176" spans="2:2" x14ac:dyDescent="0.25">
      <c r="B176" s="7"/>
    </row>
    <row r="177" spans="2:2" ht="15.75" x14ac:dyDescent="0.25">
      <c r="B177" s="31"/>
    </row>
    <row r="178" spans="2:2" x14ac:dyDescent="0.25">
      <c r="B178" s="7"/>
    </row>
    <row r="179" spans="2:2" x14ac:dyDescent="0.25">
      <c r="B179" s="7"/>
    </row>
    <row r="180" spans="2:2" ht="18.75" x14ac:dyDescent="0.25">
      <c r="B180" s="32"/>
    </row>
    <row r="181" spans="2:2" ht="15.75" x14ac:dyDescent="0.25">
      <c r="B181" s="31"/>
    </row>
    <row r="182" spans="2:2" ht="15" customHeight="1" x14ac:dyDescent="0.25">
      <c r="B182" s="7"/>
    </row>
    <row r="183" spans="2:2" x14ac:dyDescent="0.25">
      <c r="B183" s="7"/>
    </row>
    <row r="184" spans="2:2" ht="15" customHeight="1" x14ac:dyDescent="0.25">
      <c r="B184" s="7"/>
    </row>
    <row r="185" spans="2:2" ht="15" customHeight="1" x14ac:dyDescent="0.25">
      <c r="B185" s="7"/>
    </row>
    <row r="186" spans="2:2" ht="15.75" x14ac:dyDescent="0.25">
      <c r="B186" s="31"/>
    </row>
    <row r="187" spans="2:2" x14ac:dyDescent="0.25">
      <c r="B187" s="7"/>
    </row>
    <row r="188" spans="2:2" x14ac:dyDescent="0.25">
      <c r="B188" s="7"/>
    </row>
    <row r="189" spans="2:2" x14ac:dyDescent="0.25">
      <c r="B189" s="7"/>
    </row>
    <row r="190" spans="2:2" ht="18.75" x14ac:dyDescent="0.25">
      <c r="B190" s="33"/>
    </row>
    <row r="191" spans="2:2" ht="15.75" x14ac:dyDescent="0.25">
      <c r="B191" s="31"/>
    </row>
    <row r="192" spans="2:2" x14ac:dyDescent="0.25">
      <c r="B192" s="7"/>
    </row>
    <row r="193" spans="2:2" x14ac:dyDescent="0.25">
      <c r="B193" s="7"/>
    </row>
    <row r="194" spans="2:2" x14ac:dyDescent="0.25">
      <c r="B194" s="7"/>
    </row>
    <row r="195" spans="2:2" ht="15" customHeight="1" x14ac:dyDescent="0.25">
      <c r="B195" s="7"/>
    </row>
    <row r="196" spans="2:2" x14ac:dyDescent="0.25">
      <c r="B196" s="7"/>
    </row>
    <row r="197" spans="2:2" x14ac:dyDescent="0.25">
      <c r="B197" s="7"/>
    </row>
    <row r="198" spans="2:2" x14ac:dyDescent="0.25">
      <c r="B198" s="7"/>
    </row>
    <row r="199" spans="2:2" x14ac:dyDescent="0.25">
      <c r="B199" s="7"/>
    </row>
    <row r="200" spans="2:2" ht="18.75" x14ac:dyDescent="0.25">
      <c r="B200" s="33"/>
    </row>
    <row r="201" spans="2:2" ht="15.75" x14ac:dyDescent="0.25">
      <c r="B201" s="31"/>
    </row>
    <row r="202" spans="2:2" x14ac:dyDescent="0.25">
      <c r="B202" s="7"/>
    </row>
    <row r="203" spans="2:2" x14ac:dyDescent="0.25">
      <c r="B203" s="7"/>
    </row>
    <row r="204" spans="2:2" ht="15" customHeight="1" x14ac:dyDescent="0.25">
      <c r="B204" s="7"/>
    </row>
    <row r="205" spans="2:2" ht="15" customHeight="1" x14ac:dyDescent="0.25">
      <c r="B205" s="7"/>
    </row>
    <row r="206" spans="2:2" ht="15.75" x14ac:dyDescent="0.25">
      <c r="B206" s="31"/>
    </row>
    <row r="207" spans="2:2" x14ac:dyDescent="0.25">
      <c r="B207" s="7"/>
    </row>
    <row r="208" spans="2:2" x14ac:dyDescent="0.25">
      <c r="B208" s="7"/>
    </row>
    <row r="209" spans="2:2" ht="18.75" x14ac:dyDescent="0.25">
      <c r="B209" s="29"/>
    </row>
    <row r="210" spans="2:2" ht="15.75" x14ac:dyDescent="0.25">
      <c r="B210" s="31"/>
    </row>
    <row r="211" spans="2:2" ht="15" customHeight="1" x14ac:dyDescent="0.25">
      <c r="B211" s="7"/>
    </row>
    <row r="212" spans="2:2" x14ac:dyDescent="0.25">
      <c r="B212" s="7"/>
    </row>
    <row r="213" spans="2:2" x14ac:dyDescent="0.25">
      <c r="B213" s="7"/>
    </row>
    <row r="214" spans="2:2" ht="15" customHeight="1" x14ac:dyDescent="0.25">
      <c r="B214" s="7"/>
    </row>
    <row r="215" spans="2:2" x14ac:dyDescent="0.25">
      <c r="B215" s="7"/>
    </row>
    <row r="216" spans="2:2" x14ac:dyDescent="0.25">
      <c r="B216" s="7"/>
    </row>
    <row r="217" spans="2:2" ht="15.75" x14ac:dyDescent="0.25">
      <c r="B217" s="31"/>
    </row>
    <row r="218" spans="2:2" x14ac:dyDescent="0.25">
      <c r="B218" s="7"/>
    </row>
    <row r="219" spans="2:2" x14ac:dyDescent="0.25">
      <c r="B219" s="7"/>
    </row>
    <row r="220" spans="2:2" x14ac:dyDescent="0.25">
      <c r="B220" s="7"/>
    </row>
    <row r="221" spans="2:2" x14ac:dyDescent="0.25">
      <c r="B221" s="7"/>
    </row>
    <row r="222" spans="2:2" ht="18.75" x14ac:dyDescent="0.3">
      <c r="B222" s="34"/>
    </row>
    <row r="223" spans="2:2" ht="15.75" x14ac:dyDescent="0.25">
      <c r="B223" s="31"/>
    </row>
    <row r="224" spans="2:2" ht="15" customHeight="1" x14ac:dyDescent="0.25">
      <c r="B224" s="7"/>
    </row>
    <row r="225" spans="2:2" ht="15" customHeight="1" x14ac:dyDescent="0.25">
      <c r="B225" s="7"/>
    </row>
    <row r="226" spans="2:2" ht="15.75" x14ac:dyDescent="0.25">
      <c r="B226" s="31"/>
    </row>
    <row r="227" spans="2:2" x14ac:dyDescent="0.25">
      <c r="B227" s="7"/>
    </row>
    <row r="228" spans="2:2" x14ac:dyDescent="0.25">
      <c r="B228" s="7"/>
    </row>
    <row r="229" spans="2:2" x14ac:dyDescent="0.25">
      <c r="B229" s="7"/>
    </row>
    <row r="230" spans="2:2" ht="15.75" x14ac:dyDescent="0.25">
      <c r="B230" s="31"/>
    </row>
    <row r="231" spans="2:2" x14ac:dyDescent="0.25">
      <c r="B231" s="7"/>
    </row>
    <row r="232" spans="2:2" x14ac:dyDescent="0.25">
      <c r="B232" s="7"/>
    </row>
    <row r="233" spans="2:2" ht="15.75" x14ac:dyDescent="0.25">
      <c r="B233" s="31"/>
    </row>
    <row r="234" spans="2:2" x14ac:dyDescent="0.25">
      <c r="B234" s="7"/>
    </row>
    <row r="235" spans="2:2" x14ac:dyDescent="0.25">
      <c r="B235" s="7"/>
    </row>
    <row r="236" spans="2:2" x14ac:dyDescent="0.25">
      <c r="B236" s="7"/>
    </row>
    <row r="237" spans="2:2" ht="15.75" x14ac:dyDescent="0.25">
      <c r="B237" s="31"/>
    </row>
    <row r="238" spans="2:2" x14ac:dyDescent="0.25">
      <c r="B238" s="7"/>
    </row>
    <row r="239" spans="2:2" x14ac:dyDescent="0.25">
      <c r="B239" s="7"/>
    </row>
    <row r="240" spans="2:2" ht="15.75" x14ac:dyDescent="0.25">
      <c r="B240" s="31"/>
    </row>
    <row r="241" spans="2:2" x14ac:dyDescent="0.25">
      <c r="B241" s="7"/>
    </row>
    <row r="242" spans="2:2" ht="15" customHeight="1" x14ac:dyDescent="0.25">
      <c r="B242" s="7"/>
    </row>
    <row r="243" spans="2:2" x14ac:dyDescent="0.25">
      <c r="B243" s="7"/>
    </row>
    <row r="244" spans="2:2" x14ac:dyDescent="0.25">
      <c r="B244" s="7"/>
    </row>
    <row r="245" spans="2:2" ht="15.75" x14ac:dyDescent="0.25">
      <c r="B245" s="31"/>
    </row>
    <row r="246" spans="2:2" x14ac:dyDescent="0.25">
      <c r="B246" s="7"/>
    </row>
    <row r="247" spans="2:2" x14ac:dyDescent="0.25">
      <c r="B247" s="7"/>
    </row>
    <row r="248" spans="2:2" x14ac:dyDescent="0.25">
      <c r="B248" s="7"/>
    </row>
    <row r="249" spans="2:2" ht="15" customHeight="1" x14ac:dyDescent="0.25">
      <c r="B249" s="7"/>
    </row>
    <row r="250" spans="2:2" ht="15" customHeight="1" x14ac:dyDescent="0.25">
      <c r="B250" s="7"/>
    </row>
    <row r="251" spans="2:2" ht="15" customHeight="1" x14ac:dyDescent="0.25">
      <c r="B251" s="7"/>
    </row>
    <row r="252" spans="2:2" x14ac:dyDescent="0.25">
      <c r="B252" s="7"/>
    </row>
    <row r="253" spans="2:2" x14ac:dyDescent="0.25">
      <c r="B253" s="7"/>
    </row>
    <row r="254" spans="2:2" x14ac:dyDescent="0.25">
      <c r="B254" s="7"/>
    </row>
    <row r="255" spans="2:2" x14ac:dyDescent="0.25">
      <c r="B255" s="7"/>
    </row>
    <row r="256" spans="2:2" x14ac:dyDescent="0.25">
      <c r="B256" s="7"/>
    </row>
    <row r="257" spans="2:2" x14ac:dyDescent="0.25">
      <c r="B257" s="7"/>
    </row>
    <row r="258" spans="2:2" x14ac:dyDescent="0.25">
      <c r="B258" s="7"/>
    </row>
    <row r="259" spans="2:2" x14ac:dyDescent="0.25">
      <c r="B259" s="7"/>
    </row>
    <row r="260" spans="2:2" ht="15.75" x14ac:dyDescent="0.25">
      <c r="B260" s="31"/>
    </row>
    <row r="261" spans="2:2" x14ac:dyDescent="0.25">
      <c r="B261" s="7"/>
    </row>
    <row r="262" spans="2:2" x14ac:dyDescent="0.25">
      <c r="B262" s="7"/>
    </row>
    <row r="263" spans="2:2" ht="15.75" thickBot="1" x14ac:dyDescent="0.3">
      <c r="B263" s="35"/>
    </row>
    <row r="264" spans="2:2" ht="15.75" thickTop="1" x14ac:dyDescent="0.25"/>
  </sheetData>
  <sheetProtection selectLockedCells="1" selectUnlockedCells="1"/>
  <pageMargins left="0.70866141732283472" right="0.70866141732283472" top="0.74803149606299213" bottom="0.74803149606299213" header="0.31496062992125984" footer="0.31496062992125984"/>
  <pageSetup paperSize="9" scale="69" orientation="portrait" horizontalDpi="1200" verticalDpi="1200" r:id="rId1"/>
  <headerFooter>
    <oddFooter>&amp;L&amp;D&amp;Cالصفحة &amp;P من &amp;N&amp;Rسري - استخدام داخلي</oddFooter>
  </headerFooter>
  <drawing r:id="rId2"/>
</worksheet>
</file>

<file path=xl/worksheets/sheet1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3F38-B97A-4CB5-93A9-A8C42971A63C}">
  <sheetPr>
    <pageSetUpPr fitToPage="1"/>
  </sheetPr>
  <dimension ref="B2:G134"/>
  <sheetViews>
    <sheetView showGridLines="0" workbookViewId="0"/>
  </sheetViews>
  <sheetFormatPr defaultColWidth="9.140625" defaultRowHeight="15" x14ac:dyDescent="0.25"/>
  <cols>
    <col min="1" max="1" width="2.85546875" style="20" customWidth="1"/>
    <col min="2" max="2" width="4.28515625" style="20" customWidth="1"/>
    <col min="3" max="3" width="22.28515625" style="20" customWidth="1"/>
    <col min="4" max="4" width="57" style="20" customWidth="1"/>
    <col min="5" max="5" width="62.5703125" style="20" customWidth="1"/>
    <col min="6" max="6" width="23.7109375" style="20" customWidth="1"/>
    <col min="7" max="7" width="29" style="20" customWidth="1"/>
    <col min="8" max="16384" width="9.140625" style="20"/>
  </cols>
  <sheetData>
    <row r="2" spans="2:7" x14ac:dyDescent="0.25">
      <c r="B2" s="19"/>
      <c r="C2" s="19"/>
    </row>
    <row r="3" spans="2:7" x14ac:dyDescent="0.25">
      <c r="B3" s="19"/>
      <c r="C3" s="19"/>
    </row>
    <row r="4" spans="2:7" x14ac:dyDescent="0.25">
      <c r="B4" s="19"/>
      <c r="C4" s="19"/>
    </row>
    <row r="5" spans="2:7" x14ac:dyDescent="0.25">
      <c r="B5" s="19"/>
      <c r="C5" s="19"/>
    </row>
    <row r="6" spans="2:7" x14ac:dyDescent="0.25">
      <c r="B6" s="19"/>
      <c r="C6" s="19"/>
    </row>
    <row r="7" spans="2:7" x14ac:dyDescent="0.25">
      <c r="B7" s="19"/>
      <c r="C7" s="19"/>
    </row>
    <row r="8" spans="2:7" ht="21" x14ac:dyDescent="0.25">
      <c r="B8" s="21" t="inlineStr">
        <is>
          <t xml:space="preserve">الأصل | التهديد | نقطة الضعف | نوع الخطر | الضابط المرجعي</t>
        </is>
      </c>
      <c r="C8" s="21"/>
      <c r="D8" s="76"/>
    </row>
    <row r="9" spans="2:7" x14ac:dyDescent="0.25">
      <c r="B9" s="76" t="inlineStr">
        <is>
          <t xml:space="preserve">الجدول أدناه يعرض العلاقة بين الأصل والتهديد ونقطة الضعف ونوع الخطر والضابط المرجعي للمخاطر المسجلة فعلياً في سجل مخاطر بنك الآفاق الرقمية.</t>
        </is>
      </c>
      <c r="C9" s="76"/>
      <c r="D9" s="76"/>
    </row>
    <row r="10" spans="2:7" x14ac:dyDescent="0.25">
      <c r="B10" s="76" t="inlineStr">
        <is>
          <t xml:space="preserve">يمكن استخدام هذا الجدول مرجعاً عند تسجيل مخاطر جديدة، وهو مطابق لبيانات ورقة «Risk Assessment» في هذه الأداة ولتقرير تقييم ومعالجة المخاطر (ISMS-DOC-06-3).</t>
        </is>
      </c>
      <c r="C10" s="76"/>
      <c r="D10" s="76"/>
    </row>
    <row r="11" spans="2:7" x14ac:dyDescent="0.25">
      <c r="B11" s="76"/>
      <c r="C11" s="76"/>
      <c r="D11" s="76"/>
    </row>
    <row r="12" spans="2:7" ht="21" customHeight="1" x14ac:dyDescent="0.25">
      <c r="B12" s="102" t="inlineStr">
        <is>
          <t xml:space="preserve"> المرجع</t>
        </is>
      </c>
      <c r="C12" s="36" t="inlineStr">
        <is>
          <t xml:space="preserve">مجموعة الأصل</t>
        </is>
      </c>
      <c r="D12" s="37" t="inlineStr">
        <is>
          <t xml:space="preserve">التهديد</t>
        </is>
      </c>
      <c r="E12" s="37" t="inlineStr">
        <is>
          <t xml:space="preserve">نقطة الضعف</t>
        </is>
      </c>
      <c r="F12" s="36" t="inlineStr">
        <is>
          <t xml:space="preserve">نوع الخطر</t>
        </is>
      </c>
      <c r="G12" s="36" t="inlineStr">
        <is>
          <t xml:space="preserve">ضابط الملحق A</t>
        </is>
      </c>
    </row>
    <row r="13" spans="2:7" x14ac:dyDescent="0.25">
      <c r="B13" s="103" t="inlineStr">
        <is>
          <t xml:space="preserve">R-001</t>
        </is>
      </c>
      <c r="C13" s="77" t="inlineStr">
        <is>
          <t xml:space="preserve">بيانات العملاء</t>
        </is>
      </c>
      <c r="D13" s="78" t="inlineStr">
        <is>
          <t xml:space="preserve">هجوم برمجيات الفدية (Ransomware) يشفّر قواعد البيانات والنسخ الاحتياطية المتصلة بالشبكة</t>
        </is>
      </c>
      <c r="E13" s="78" t="inlineStr">
        <is>
          <t xml:space="preserve">غياب نظام SIEM للكشف المبكر، وعدم عزل نسخ النسخ الاحتياطي (Immutability)، وعدم كفاية قدرات EDR على الخوادم</t>
        </is>
      </c>
      <c r="F13" s="77" t="inlineStr">
        <is>
          <t xml:space="preserve">سرية وسلامة وتوافر (CIA)</t>
        </is>
      </c>
      <c r="G13" s="77" t="inlineStr">
        <is>
          <t xml:space="preserve">A.8.7، A.8.13، A.8.16، A.5.29، A.5.30</t>
        </is>
      </c>
    </row>
    <row r="14" spans="2:7" ht="45" x14ac:dyDescent="0.25">
      <c r="B14" s="104" t="inlineStr">
        <is>
          <t xml:space="preserve">R-002</t>
        </is>
      </c>
      <c r="C14" s="76" t="inlineStr">
        <is>
          <t xml:space="preserve">بيانات العملاء</t>
        </is>
      </c>
      <c r="D14" s="80" t="inlineStr">
        <is>
          <t xml:space="preserve">هجمات تصيد احتيالي متطورة وانتحال شخصية تنفيذيين لاختراق حسابات الموظفين أو تنفيذ تحويلات احتيالية</t>
        </is>
      </c>
      <c r="E14" s="76" t="inlineStr">
        <is>
          <t xml:space="preserve">ضعف الوعي الأمني: 25% من الموظفين نقروا على رابط محاكاة التصيد، و12% أدخلوا بيانات اعتمادهم، و8% فقط أبلغوا، وأعلى نسبة نقر في إدارة التسويق (40%)</t>
        </is>
      </c>
      <c r="F14" s="80" t="inlineStr">
        <is>
          <t xml:space="preserve">سرية وسلامة (CI)</t>
        </is>
      </c>
      <c r="G14" s="2" t="inlineStr">
        <is>
          <t xml:space="preserve">A.5.17، A.6.3، A.8.5، A.5.24، A.5.26</t>
        </is>
      </c>
    </row>
    <row r="15" spans="2:7" ht="30" x14ac:dyDescent="0.25">
      <c r="B15" s="104" t="inlineStr">
        <is>
          <t xml:space="preserve">R-003</t>
        </is>
      </c>
      <c r="C15" s="76" t="inlineStr">
        <is>
          <t xml:space="preserve">التطبيقات المصرفية</t>
        </is>
      </c>
      <c r="D15" s="80" t="inlineStr">
        <is>
          <t xml:space="preserve">استغلال ثغرات حقن SQL وعدم كفاية التحقق من صحة المدخلات في تطبيق آفاق بلس للوصول إلى بيانات العملاء أو تنفيذ عمليات غير مصرح بها</t>
        </is>
      </c>
      <c r="E15" s="80" t="inlineStr">
        <is>
          <t xml:space="preserve">3 ثغرات عالية الخطورة رُصدت في فحص 2026-07-14 وما زالت إحداها دون معالجة، وضعف ممارسات الترميز الآمن ومراجعة الكود الأمني</t>
        </is>
      </c>
      <c r="F15" s="80" t="inlineStr">
        <is>
          <t xml:space="preserve">سرية وسلامة (CI)</t>
        </is>
      </c>
      <c r="G15" s="2" t="inlineStr">
        <is>
          <t xml:space="preserve">A.8.8، A.8.25، A.8.26، A.8.28، A.8.29</t>
        </is>
      </c>
    </row>
    <row r="16" spans="2:7" ht="30" x14ac:dyDescent="0.25">
      <c r="B16" s="104" t="inlineStr">
        <is>
          <t xml:space="preserve">R-004</t>
        </is>
      </c>
      <c r="C16" s="76" t="inlineStr">
        <is>
          <t xml:space="preserve">التطبيقات المصرفية</t>
        </is>
      </c>
      <c r="D16" s="80" t="inlineStr">
        <is>
          <t xml:space="preserve">استغلال الثغرات المتوسطة في منصة آفاق نت (إدارة الجلسات ومعالجة المدخلات) للوصول غير المصرح به إلى حسابات عملاء الشركات</t>
        </is>
      </c>
      <c r="E16" s="80" t="inlineStr">
        <is>
          <t xml:space="preserve">7 ثغرات متوسطة الخطورة رُصدت في فحص 2026-07-14 ومعظمها دون معالجة، وتأخر دورة الترقيع للتطبيقات</t>
        </is>
      </c>
      <c r="F16" s="80" t="inlineStr">
        <is>
          <t xml:space="preserve">سرية وسلامة (CI)</t>
        </is>
      </c>
      <c r="G16" s="2" t="inlineStr">
        <is>
          <t xml:space="preserve">A.8.8، A.8.5، A.8.29</t>
        </is>
      </c>
    </row>
    <row r="17" spans="2:7" ht="45" x14ac:dyDescent="0.25">
      <c r="B17" s="104" t="inlineStr">
        <is>
          <t xml:space="preserve">R-005</t>
        </is>
      </c>
      <c r="C17" s="76" t="inlineStr">
        <is>
          <t xml:space="preserve">البيانات التقنية والأمنية</t>
        </is>
      </c>
      <c r="D17" s="80" t="inlineStr">
        <is>
          <t xml:space="preserve">إساءة استخدام الصلاحيات الإدارية أو اختراق حساب مسؤول عبر كلمات مرور مشتركة أو مخزنة يدوياً للسيطرة على بيئة البنك</t>
        </is>
      </c>
      <c r="E17" s="80" t="inlineStr">
        <is>
          <t xml:space="preserve">عدم وجود نظام لإدارة الوصول المميّز (PAM)؛ تُدار كلمات مرور المسؤولين يدوياً وتُشارك بين المهندسين (فجوة G-03)</t>
        </is>
      </c>
      <c r="F17" s="80" t="inlineStr">
        <is>
          <t xml:space="preserve">سرية وسلامة (CI)</t>
        </is>
      </c>
      <c r="G17" s="2" t="inlineStr">
        <is>
          <t xml:space="preserve">A.5.18، A.8.2، A.8.5، A.8.15، A.8.18</t>
        </is>
      </c>
    </row>
    <row r="18" spans="2:7" ht="30" x14ac:dyDescent="0.25">
      <c r="B18" s="104" t="inlineStr">
        <is>
          <t xml:space="preserve">R-006</t>
        </is>
      </c>
      <c r="C18" s="76" t="inlineStr">
        <is>
          <t xml:space="preserve">بيانات الموظفين</t>
        </is>
      </c>
      <c r="D18" s="80" t="inlineStr">
        <is>
          <t xml:space="preserve">وصول غير مصرح به إلى ملفات الموظفين الشخصية وبيانات الرواتب وتقييمات الأداء نتيجة صلاحيات موروثة أو زائدة</t>
        </is>
      </c>
      <c r="E18" s="80" t="inlineStr">
        <is>
          <t xml:space="preserve">غياب عملية مراجعة دورية لصلاحيات الوصول، وبقاء صلاحيات ممنوحة لمشاريع منتهية (فجوة G-10)، وعدم ربط إغلاق المشاريع بسحب الصلاحيات</t>
        </is>
      </c>
      <c r="F18" s="80" t="inlineStr">
        <is>
          <t xml:space="preserve">سرية (C)</t>
        </is>
      </c>
      <c r="G18" s="2" t="inlineStr">
        <is>
          <t xml:space="preserve">A.5.18، A.5.15، A.8.3، A.5.3</t>
        </is>
      </c>
    </row>
    <row r="19" spans="2:7" ht="45" x14ac:dyDescent="0.25">
      <c r="B19" s="104" t="inlineStr">
        <is>
          <t xml:space="preserve">R-007</t>
        </is>
      </c>
      <c r="C19" s="76" t="inlineStr">
        <is>
          <t xml:space="preserve">البنية التحتية والأجهزة</t>
        </is>
      </c>
      <c r="D19" s="80" t="inlineStr">
        <is>
          <t xml:space="preserve">فقدان أو سرقة حاسوب محمول أو جهاز ذكي يحتوي بيانات عملاء أو بيانات مصرفية غير مشفرة</t>
        </is>
      </c>
      <c r="E19" s="80" t="inlineStr">
        <is>
          <t xml:space="preserve">تشفير BitLocker غير مفعل على جميع الأجهزة (92% حالياً)، وتخزين موظفين نسخاً محلية من بيانات العملاء، وتأخر الإبلاغ عن الفقدان</t>
        </is>
      </c>
      <c r="F19" s="80" t="inlineStr">
        <is>
          <t xml:space="preserve">سرية (C)</t>
        </is>
      </c>
      <c r="G19" s="2" t="inlineStr">
        <is>
          <t xml:space="preserve">A.7.9، A.7.10، A.7.14، A.8.24، A.8.12</t>
        </is>
      </c>
    </row>
    <row r="20" spans="2:7" ht="30" x14ac:dyDescent="0.25">
      <c r="B20" s="104" t="inlineStr">
        <is>
          <t xml:space="preserve">R-008</t>
        </is>
      </c>
      <c r="C20" s="76" t="inlineStr">
        <is>
          <t xml:space="preserve">البيانات التقنية والأمنية</t>
        </is>
      </c>
      <c r="D20" s="80" t="inlineStr">
        <is>
          <t xml:space="preserve">انتهاء صلاحية الشهادات الرقمية (SSL/TLS) أو إساءة إدارة مفاتيح التشفير بما يعطل الخدمات أو يفك تشفير الاتصالات</t>
        </is>
      </c>
      <c r="E20" s="80" t="inlineStr">
        <is>
          <t xml:space="preserve">عدم وجود سجل مركزي للشهادات الرقمية ولا نظام آلي للتنبيه قبل انتهاء الصلاحية (سبب الحادثة INC-2026-004)</t>
        </is>
      </c>
      <c r="F20" s="80" t="inlineStr">
        <is>
          <t xml:space="preserve">توافر (A)</t>
        </is>
      </c>
      <c r="G20" s="2" t="inlineStr">
        <is>
          <t xml:space="preserve">A.8.24، A.5.9، A.5.37، A.8.16</t>
        </is>
      </c>
    </row>
    <row r="21" spans="2:7" ht="30" x14ac:dyDescent="0.25">
      <c r="B21" s="104" t="inlineStr">
        <is>
          <t xml:space="preserve">R-009</t>
        </is>
      </c>
      <c r="C21" s="76" t="inlineStr">
        <is>
          <t xml:space="preserve">أنظمة أمن المعلومات</t>
        </is>
      </c>
      <c r="D21" s="80" t="inlineStr">
        <is>
          <t xml:space="preserve">خطأ بشري أثناء تنفيذ تغييرات على إعدادات الشبكة أو جدار الحماية يؤدي إلى انقطاع الخدمات المصرفية الرقمية</t>
        </is>
      </c>
      <c r="E21" s="80" t="inlineStr">
        <is>
          <t xml:space="preserve">عدم وجود مراجعة ثنائية (Four-Eyes) للتغييرات الحرجة، وغياب خطة تراجع سريعة، وضعف مراقبة أداء وتوافر التطبيقات (فجوة G-07)</t>
        </is>
      </c>
      <c r="F21" s="80" t="inlineStr">
        <is>
          <t xml:space="preserve">سلامة وتوافر (IA)</t>
        </is>
      </c>
      <c r="G21" s="2" t="inlineStr">
        <is>
          <t xml:space="preserve">A.8.32، A.8.20، A.8.21، A.5.37، A.8.16</t>
        </is>
      </c>
    </row>
    <row r="22" spans="2:7" ht="45" x14ac:dyDescent="0.25">
      <c r="B22" s="104" t="inlineStr">
        <is>
          <t xml:space="preserve">R-010</t>
        </is>
      </c>
      <c r="C22" s="76" t="inlineStr">
        <is>
          <t xml:space="preserve">التطبيقات المصرفية</t>
        </is>
      </c>
      <c r="D22" s="80" t="inlineStr">
        <is>
          <t xml:space="preserve">هجوم حجب الخدمة الموزع (DDoS) يعطّل الخدمات المصرفية الرقمية وشبكة المدفوعات الفورية</t>
        </is>
      </c>
      <c r="E22" s="80" t="inlineStr">
        <is>
          <t xml:space="preserve">عدم وجود خدمة تنظيف حركة مرور (Scrubbing) مخصصة، واعتماد الحماية على جدران الحماية وحدود النطاق الترددي للمزود</t>
        </is>
      </c>
      <c r="F22" s="80" t="inlineStr">
        <is>
          <t xml:space="preserve">توافر (A)</t>
        </is>
      </c>
      <c r="G22" s="2" t="inlineStr">
        <is>
          <t xml:space="preserve">A.8.6، A.8.14، A.5.29، A.5.30، A.8.20</t>
        </is>
      </c>
    </row>
    <row r="23" spans="2:7" ht="60" x14ac:dyDescent="0.25">
      <c r="B23" s="104" t="inlineStr">
        <is>
          <t xml:space="preserve">R-011</t>
        </is>
      </c>
      <c r="C23" s="76" t="inlineStr">
        <is>
          <t xml:space="preserve">البنية التحتية والأجهزة</t>
        </is>
      </c>
      <c r="D23" s="80" t="inlineStr">
        <is>
          <t xml:space="preserve">فشل النسخ الاحتياطي أو عدم قابلية الاستعادة عند الحاجة إليها بسبب أخطاء تشغيلية أو تلف وسائط أو إصابة النسخ</t>
        </is>
      </c>
      <c r="E23" s="80" t="inlineStr">
        <is>
          <t xml:space="preserve">عدم إجراء اختبارات استعادة دورية موثقة، وارتباط خادم النسخ الاحتياطي بالشبكة دون عزل، ومراقبة يدوية لنجاح مهام النسخ</t>
        </is>
      </c>
      <c r="F23" s="80" t="inlineStr">
        <is>
          <t xml:space="preserve">سلامة وتوافر (IA)</t>
        </is>
      </c>
      <c r="G23" s="2" t="inlineStr">
        <is>
          <t xml:space="preserve">A.8.13، A.8.14، A.5.30، A.8.16</t>
        </is>
      </c>
    </row>
    <row r="24" spans="2:7" ht="30" x14ac:dyDescent="0.25">
      <c r="B24" s="104" t="inlineStr">
        <is>
          <t xml:space="preserve">R-012</t>
        </is>
      </c>
      <c r="C24" s="76" t="inlineStr">
        <is>
          <t xml:space="preserve">المرافق والأمن المادي</t>
        </is>
      </c>
      <c r="D24" s="80" t="inlineStr">
        <is>
          <t xml:space="preserve">كارثة مادية (حريق، فشل تكييف، انقطاع طاقة مطوّل، تسرب مياه) تعطل مركز البيانات الرئيسي في الرياض</t>
        </is>
      </c>
      <c r="E24" s="80" t="inlineStr">
        <is>
          <t xml:space="preserve">اعتماد العمليات على موقع واحد رئيسي، وصيانة وقائية ربع سنوية فقط للمولدات، وعدم اختبار خطة الانتقال إلى مركز التعافي بجدة خلال آخر 12 شهراً</t>
        </is>
      </c>
      <c r="F24" s="80" t="inlineStr">
        <is>
          <t xml:space="preserve">توافر (A)</t>
        </is>
      </c>
      <c r="G24" s="2" t="inlineStr">
        <is>
          <t xml:space="preserve">A.5.29، A.5.30، A.7.5، A.7.11، A.8.14</t>
        </is>
      </c>
    </row>
    <row r="25" spans="2:7" ht="30" x14ac:dyDescent="0.25">
      <c r="B25" s="104" t="inlineStr">
        <is>
          <t xml:space="preserve">R-013</t>
        </is>
      </c>
      <c r="C25" s="76" t="inlineStr">
        <is>
          <t xml:space="preserve">الموردون والخدمات الخارجية</t>
        </is>
      </c>
      <c r="D25" s="80" t="inlineStr">
        <is>
          <t xml:space="preserve">اختراق بيئة المورد أو إساءة استخدامه لصلاحياته بما يؤدي إلى تسريب الكود المصدري أو إدخال ثغرات أو أبواب خلفية في تطبيق آفاق بلس</t>
        </is>
      </c>
      <c r="E25" s="80" t="inlineStr">
        <is>
          <t xml:space="preserve">منح المطورين الخارجيين وصولاً إلى مستودع الكود وبيئة الاختبار دون متطلبات أمنية تعاقدية مفصلة، واستخدام بيانات حقيقية في الاختبار (فجوة G-04)</t>
        </is>
      </c>
      <c r="F25" s="80" t="inlineStr">
        <is>
          <t xml:space="preserve">سرية وسلامة (CI)</t>
        </is>
      </c>
      <c r="G25" s="2" t="inlineStr">
        <is>
          <t xml:space="preserve">A.5.19، A.5.20، A.5.21، A.5.22، A.8.30</t>
        </is>
      </c>
    </row>
    <row r="26" spans="2:7" ht="30" x14ac:dyDescent="0.25">
      <c r="B26" s="104" t="inlineStr">
        <is>
          <t xml:space="preserve">R-014</t>
        </is>
      </c>
      <c r="C26" s="76" t="inlineStr">
        <is>
          <t xml:space="preserve">الموردون والخدمات الخارجية</t>
        </is>
      </c>
      <c r="D26" s="80" t="inlineStr">
        <is>
          <t xml:space="preserve">سوء تكوين موارد السحابة من قبل البنك أو انقطاع خدمة المزود بما يعطل الأنظمة غير الحرجة أو يكشف بيانات محدودة</t>
        </is>
      </c>
      <c r="E26" s="80" t="inlineStr">
        <is>
          <t xml:space="preserve">عدم وجود مراجعة دورية لتكوينات السحابة وفق خط أساس معتمد، واعتماد نموذج المسؤولية المشتركة دون توثيق تفصيلي للمسؤوليات</t>
        </is>
      </c>
      <c r="F26" s="80" t="inlineStr">
        <is>
          <t xml:space="preserve">سرية وتوافر (CA)</t>
        </is>
      </c>
      <c r="G26" s="2" t="inlineStr">
        <is>
          <t xml:space="preserve">A.5.23، A.8.9، A.5.20، A.8.2</t>
        </is>
      </c>
    </row>
    <row r="27" spans="2:7" ht="45" x14ac:dyDescent="0.25">
      <c r="B27" s="104" t="inlineStr">
        <is>
          <t xml:space="preserve">R-015</t>
        </is>
      </c>
      <c r="C27" s="76" t="inlineStr">
        <is>
          <t xml:space="preserve">البيانات التقنية والأمنية</t>
        </is>
      </c>
      <c r="D27" s="80" t="inlineStr">
        <is>
          <t xml:space="preserve">تسريب بيانات عملاء حقيقية مستخدمة في بيئات الاختبار أو التطوير أو انكشافها على مطورين غير مخولين</t>
        </is>
      </c>
      <c r="E27" s="80" t="inlineStr">
        <is>
          <t xml:space="preserve">استخدام بيانات حقيقية في بيئة الاختبار، وعدم كفاية فصل بيئات التطوير والاختبار والإنتاج، وغياب آلية إخفاء البيانات (فجوة G-04)</t>
        </is>
      </c>
      <c r="F27" s="80" t="inlineStr">
        <is>
          <t xml:space="preserve">سرية (C)</t>
        </is>
      </c>
      <c r="G27" s="2" t="inlineStr">
        <is>
          <t xml:space="preserve">A.8.33، A.8.31، A.8.11، A.8.22</t>
        </is>
      </c>
    </row>
    <row r="28" spans="2:7" ht="30" x14ac:dyDescent="0.25">
      <c r="B28" s="104" t="inlineStr">
        <is>
          <t xml:space="preserve">R-016</t>
        </is>
      </c>
      <c r="C28" s="76" t="inlineStr">
        <is>
          <t xml:space="preserve">البيانات التقنية والأمنية</t>
        </is>
      </c>
      <c r="D28" s="80" t="inlineStr">
        <is>
          <t xml:space="preserve">تهديد داخلي: إساءة استخدام موظف حالي أو سابق لصلاحياته لسرقة أو تعديل بيانات العملاء أو المعاملات المالية</t>
        </is>
      </c>
      <c r="E28" s="80" t="inlineStr">
        <is>
          <t xml:space="preserve">صلاحيات إدارية واسعة غير مقيدة بمبدأ الحد الأدنى، ومشاركة كلمات المرور، وغياب مراقبة سلوكية للمستخدمين المميّزين</t>
        </is>
      </c>
      <c r="F28" s="80" t="inlineStr">
        <is>
          <t xml:space="preserve">سرية وسلامة (CI)</t>
        </is>
      </c>
      <c r="G28" s="2" t="inlineStr">
        <is>
          <t xml:space="preserve">A.5.3، A.5.18، A.8.2، A.6.5، A.8.16</t>
        </is>
      </c>
    </row>
    <row r="29" spans="2:7" ht="45" x14ac:dyDescent="0.25">
      <c r="B29" s="104" t="inlineStr">
        <is>
          <t xml:space="preserve">R-017</t>
        </is>
      </c>
      <c r="C29" s="76" t="inlineStr">
        <is>
          <t xml:space="preserve">أنظمة دعم الأعمال</t>
        </is>
      </c>
      <c r="D29" s="80" t="inlineStr">
        <is>
          <t xml:space="preserve">تعطل نظام الرواتب القديم أو استغلال ثغراته بسبب انتهاء دعم المورد وعدم توافقه مع معايير التشفير الحديثة</t>
        </is>
      </c>
      <c r="E29" s="80" t="inlineStr">
        <is>
          <t xml:space="preserve">نظام موروث لا يتلقى تحديثات أمنية منتظمة، وتكامله مع أنظمة حديثة عبر واجهات غير موثقة، وخطة الاستبدال تمتد لسنتين</t>
        </is>
      </c>
      <c r="F29" s="80" t="inlineStr">
        <is>
          <t xml:space="preserve">سلامة وتوافر (IA)</t>
        </is>
      </c>
      <c r="G29" s="2" t="inlineStr">
        <is>
          <t xml:space="preserve">A.5.37، A.8.8، A.5.29، A.8.20</t>
        </is>
      </c>
    </row>
    <row r="30" spans="2:7" ht="30" x14ac:dyDescent="0.25">
      <c r="B30" s="104" t="inlineStr">
        <is>
          <t xml:space="preserve">R-018</t>
        </is>
      </c>
      <c r="C30" s="76" t="inlineStr">
        <is>
          <t xml:space="preserve">البيانات التنظيمية والحوكمة</t>
        </is>
      </c>
      <c r="D30" s="80" t="inlineStr">
        <is>
          <t xml:space="preserve">عدم الامتثال لمتطلبات البنك المركزي السعودي (ساما) والهيئة الوطنية للأمن السيبراني والإبلاغ عن الحوادث في الوقت النظامي</t>
        </is>
      </c>
      <c r="E30" s="80" t="inlineStr">
        <is>
          <t xml:space="preserve">عدم وجود سجل موحد ومحدَّث للمتطلبات القانونية والتنظيمية والتعاقدية، وتأخر ربط متطلبات ساما بالضوابط المنفذة (فجوة G-01 سابقاً)</t>
        </is>
      </c>
      <c r="F30" s="80" t="inlineStr">
        <is>
          <t xml:space="preserve">سلامة (I)</t>
        </is>
      </c>
      <c r="G30" s="2" t="inlineStr">
        <is>
          <t xml:space="preserve">A.5.31، A.5.5، A.5.36، A.5.24</t>
        </is>
      </c>
    </row>
    <row r="31" spans="2:7" ht="30" x14ac:dyDescent="0.25">
      <c r="B31" s="104" t="inlineStr">
        <is>
          <t xml:space="preserve">R-019</t>
        </is>
      </c>
      <c r="C31" s="76" t="inlineStr">
        <is>
          <t xml:space="preserve">بيانات العملاء</t>
        </is>
      </c>
      <c r="D31" s="80" t="inlineStr">
        <is>
          <t xml:space="preserve">خرق لنظام حماية البيانات الشخصية نتيجة معالجة أو نقل أو حفظ غير نظامي للبيانات الشخصية أو عدم الاستجابة لطلبات أصحاب البيانات</t>
        </is>
      </c>
      <c r="E31" s="80" t="inlineStr">
        <is>
          <t xml:space="preserve">عدم وجود آلية مؤتمتة لاستقبال ومعالجة طلبات أصحاب البيانات (الوصول، التصحيح، الحذف)، وتعدد أماكن تخزين البيانات الشخصية دون سجل معالجة موحد</t>
        </is>
      </c>
      <c r="F31" s="80" t="inlineStr">
        <is>
          <t xml:space="preserve">سرية (C)</t>
        </is>
      </c>
      <c r="G31" s="2" t="inlineStr">
        <is>
          <t xml:space="preserve">A.5.34، A.5.31، A.5.33، A.5.20</t>
        </is>
      </c>
    </row>
    <row r="32" spans="2:7" ht="45" x14ac:dyDescent="0.25">
      <c r="B32" s="104" t="inlineStr">
        <is>
          <t xml:space="preserve">R-020</t>
        </is>
      </c>
      <c r="C32" s="76" t="inlineStr">
        <is>
          <t xml:space="preserve">البنية التحتية والأجهزة</t>
        </is>
      </c>
      <c r="D32" s="80" t="inlineStr">
        <is>
          <t xml:space="preserve">عبث مادي أو برمجي بأجهزة الصراف الآلي (تثبيت أجهزة نسخ بطاقات Skimming أو برمجيات خبيثة) لسرقة بيانات البطاقات والأرقام السرية</t>
        </is>
      </c>
      <c r="E32" s="80" t="inlineStr">
        <is>
          <t xml:space="preserve">انتشار الأجهزة في 75 موقعاً مستقلاً غير خاضع لحراسة دائمة، وصيانتها عبر مورد خارجي دون إشراف مستمر، وتحديثات برمجية غير منتظمة</t>
        </is>
      </c>
      <c r="F32" s="80" t="inlineStr">
        <is>
          <t xml:space="preserve">سرية وسلامة (CI)</t>
        </is>
      </c>
      <c r="G32" s="2" t="inlineStr">
        <is>
          <t xml:space="preserve">A.7.4، A.7.8، A.7.9، A.5.20، A.8.24</t>
        </is>
      </c>
    </row>
    <row r="33" spans="2:7" ht="30" x14ac:dyDescent="0.25">
      <c r="B33" s="104" t="inlineStr">
        <is>
          <t xml:space="preserve">R-021</t>
        </is>
      </c>
      <c r="C33" s="76" t="inlineStr">
        <is>
          <t xml:space="preserve">الموردون والخدمات الخارجية</t>
        </is>
      </c>
      <c r="D33" s="80" t="inlineStr">
        <is>
          <t xml:space="preserve">انقطاع خدمات الاتصالات أو الإنترنت من المزود الرئيسي (STC) بما يعطل الفروع والقنوات الرقمية والاتصال بشبكة المدفوعات</t>
        </is>
      </c>
      <c r="E33" s="80" t="inlineStr">
        <is>
          <t xml:space="preserve">الاعتماد على مزود رئيسي واحد للإنترنت في معظم المواقع، وعدم اختبار خطوط الاتصال الاحتياطية دورياً</t>
        </is>
      </c>
      <c r="F33" s="80" t="inlineStr">
        <is>
          <t xml:space="preserve">توافر (A)</t>
        </is>
      </c>
      <c r="G33" s="2" t="inlineStr">
        <is>
          <t xml:space="preserve">A.5.22، A.8.14، A.8.6، A.5.20</t>
        </is>
      </c>
    </row>
    <row r="34" spans="2:7" ht="30" x14ac:dyDescent="0.25">
      <c r="B34" s="104" t="inlineStr">
        <is>
          <t xml:space="preserve">R-022</t>
        </is>
      </c>
      <c r="C34" s="76" t="inlineStr">
        <is>
          <t xml:space="preserve">التطبيقات المصرفية</t>
        </is>
      </c>
      <c r="D34" s="80" t="inlineStr">
        <is>
          <t xml:space="preserve">احتيال مالي على حسابات العملاء أو سرقة بيانات البطاقات عبر انتحال الهوية أو استغلال ثغرات في قنوات الدفع</t>
        </is>
      </c>
      <c r="E34" s="80" t="inlineStr">
        <is>
          <t xml:space="preserve">قواعد كشف الاحتيال غير محدثة بما يكفي للحالات الجديدة، وعدم وجود مصادقة قوية على جميع عمليات الدفع عالية القيمة</t>
        </is>
      </c>
      <c r="F34" s="80" t="inlineStr">
        <is>
          <t xml:space="preserve">سرية وسلامة (CI)</t>
        </is>
      </c>
      <c r="G34" s="2" t="inlineStr">
        <is>
          <t xml:space="preserve">A.5.24، A.8.5، A.8.16، A.5.31</t>
        </is>
      </c>
    </row>
    <row r="35" spans="2:7" ht="30" x14ac:dyDescent="0.25">
      <c r="B35" s="104" t="inlineStr">
        <is>
          <t xml:space="preserve">R-023</t>
        </is>
      </c>
      <c r="C35" s="76" t="inlineStr">
        <is>
          <t xml:space="preserve">البيانات التقنية والأمنية</t>
        </is>
      </c>
      <c r="D35" s="80" t="inlineStr">
        <is>
          <t xml:space="preserve">تسريب الكود المصدري لتطبيقات البنك عبر وصول غير مصرح به إلى مستودع GitLab أو تسريب من مطور داخلي أو خارجي</t>
        </is>
      </c>
      <c r="E35" s="80" t="inlineStr">
        <is>
          <t xml:space="preserve">عدم تفعيل المصادقة متعددة العوامل على جميع حسابات GitLab، وغياب مراقبة تنزيل الكود بكميات كبيرة، وصلاحيات مطورين واسعة</t>
        </is>
      </c>
      <c r="F35" s="80" t="inlineStr">
        <is>
          <t xml:space="preserve">سرية (C)</t>
        </is>
      </c>
      <c r="G35" s="2" t="inlineStr">
        <is>
          <t xml:space="preserve">A.8.4، A.5.17، A.8.15، A.5.18</t>
        </is>
      </c>
    </row>
    <row r="36" spans="2:7" ht="45" x14ac:dyDescent="0.25">
      <c r="B36" s="104" t="inlineStr">
        <is>
          <t xml:space="preserve">R-024</t>
        </is>
      </c>
      <c r="C36" s="76" t="inlineStr">
        <is>
          <t xml:space="preserve">البيانات التقنية والأمنية</t>
        </is>
      </c>
      <c r="D36" s="80" t="inlineStr">
        <is>
          <t xml:space="preserve">تأخر اكتشاف الحوادث الأمنية بسبب التحليل اليدوي للسجلات في غياب نظام SIEM، مما يطيل زمن الاحتواء ويزيد الأثر</t>
        </is>
      </c>
      <c r="E36" s="80" t="inlineStr">
        <is>
          <t xml:space="preserve">عدم وجود SIEM ولا ربط آلي للتنبيهات (فجوة G-05)، واعتماد SOC على مراجعة يدوية لسجلات Syslog، وغياب حالات استخدام (Use Cases) موحدة</t>
        </is>
      </c>
      <c r="F36" s="80" t="inlineStr">
        <is>
          <t xml:space="preserve">سرية وسلامة وتوافر (CIA)</t>
        </is>
      </c>
      <c r="G36" s="2" t="inlineStr">
        <is>
          <t xml:space="preserve">A.8.15، A.8.16، A.5.25، A.5.26، A.8.17</t>
        </is>
      </c>
    </row>
    <row r="37" spans="2:7" ht="45" x14ac:dyDescent="0.25">
      <c r="B37" s="104" t="inlineStr">
        <is>
          <t xml:space="preserve">R-025</t>
        </is>
      </c>
      <c r="C37" s="76" t="inlineStr">
        <is>
          <t xml:space="preserve">بيانات العملاء</t>
        </is>
      </c>
      <c r="D37" s="80" t="inlineStr">
        <is>
          <t xml:space="preserve">تسريب أو كشف البيانات البيومترية للعملاء، وهي بيانات غير قابلة للاستبدال وتثير التزامات نظامية مشددة</t>
        </is>
      </c>
      <c r="E37" s="80" t="inlineStr">
        <is>
          <t xml:space="preserve">تخزين البيانات البيومترية ضمن بيئة قواعد البيانات العامة دون عزل كافٍ، وغياب تقييم أثر حماية البيانات (DPIA) لهذه المعالجة</t>
        </is>
      </c>
      <c r="F37" s="80" t="inlineStr">
        <is>
          <t xml:space="preserve">سرية (C)</t>
        </is>
      </c>
      <c r="G37" s="2" t="inlineStr">
        <is>
          <t xml:space="preserve">A.5.34، A.8.24، A.8.3، A.5.33</t>
        </is>
      </c>
    </row>
    <row r="38" spans="2:7" ht="30" x14ac:dyDescent="0.25">
      <c r="B38" s="104" t="inlineStr">
        <is>
          <t xml:space="preserve">R-026</t>
        </is>
      </c>
      <c r="C38" s="76" t="inlineStr">
        <is>
          <t xml:space="preserve">المرافق والأمن المادي</t>
        </is>
      </c>
      <c r="D38" s="80" t="inlineStr">
        <is>
          <t xml:space="preserve">فشل أنظمة الطاقة أو التكييف في مركز البيانات الرئيسي يؤدي إلى إيقاف الخوادم أو تلف المعدات</t>
        </is>
      </c>
      <c r="E38" s="80" t="inlineStr">
        <is>
          <t xml:space="preserve">صيانة وقائية ربع سنوية فقط للمولدات وUPS دون اختبار حِمل فعلي، وارتفاع درجات الحرارة الموسمية في الرياض</t>
        </is>
      </c>
      <c r="F38" s="80" t="inlineStr">
        <is>
          <t xml:space="preserve">توافر (A)</t>
        </is>
      </c>
      <c r="G38" s="2" t="inlineStr">
        <is>
          <t xml:space="preserve">A.7.11، A.7.5، A.7.13، A.8.14</t>
        </is>
      </c>
    </row>
    <row r="39" spans="2:7" ht="30" x14ac:dyDescent="0.25">
      <c r="B39" s="104" t="inlineStr">
        <is>
          <t xml:space="preserve">R-027</t>
        </is>
      </c>
      <c r="C39" s="76" t="inlineStr">
        <is>
          <t xml:space="preserve">البنية التحتية والأجهزة</t>
        </is>
      </c>
      <c r="D39" s="80" t="inlineStr">
        <is>
          <t xml:space="preserve">فقدان أو اختراق الأجهزة الذكية المؤسسية للمدراء وما تحتويه من بريد ومراسلات ووثائق حساسة</t>
        </is>
      </c>
      <c r="E39" s="80" t="inlineStr">
        <is>
          <t xml:space="preserve">عدم تطبيق إدارة الأجهزة المحمولة (MDM) على جميع الأجهزة الذكية، واستخدام بعض المدراء لتطبيقات مراسلة غير مؤسسية لأغراض العمل</t>
        </is>
      </c>
      <c r="F39" s="80" t="inlineStr">
        <is>
          <t xml:space="preserve">سرية (C)</t>
        </is>
      </c>
      <c r="G39" s="2" t="inlineStr">
        <is>
          <t xml:space="preserve">A.8.1، A.6.7، A.5.10، A.7.9</t>
        </is>
      </c>
    </row>
    <row r="40" spans="2:7" ht="30" x14ac:dyDescent="0.25">
      <c r="B40" s="104" t="inlineStr">
        <is>
          <t xml:space="preserve">R-028</t>
        </is>
      </c>
      <c r="C40" s="76" t="inlineStr">
        <is>
          <t xml:space="preserve">الموردون والخدمات الخارجية</t>
        </is>
      </c>
      <c r="D40" s="80" t="inlineStr">
        <is>
          <t xml:space="preserve">هجوم عبر سلسلة التوريد: تحديث أو منتج ملوّث من مورد تقني يؤدي إلى اختراق بيئة البنك</t>
        </is>
      </c>
      <c r="E40" s="80" t="inlineStr">
        <is>
          <t xml:space="preserve">عدم فحص سلامة التحديثات الواردة من الموردين، وغياب تقييم أمني دوري لمعظم الموردين التقنيين، واتساع صلاحيات الوصول عن بُعد لبعضهم</t>
        </is>
      </c>
      <c r="F40" s="80" t="inlineStr">
        <is>
          <t xml:space="preserve">سرية وسلامة (CI)</t>
        </is>
      </c>
      <c r="G40" s="2" t="inlineStr">
        <is>
          <t xml:space="preserve">A.5.19، A.5.20، A.5.21، A.5.22، A.8.22</t>
        </is>
      </c>
    </row>
    <row r="41" spans="2:7" ht="30" x14ac:dyDescent="0.25">
      <c r="B41" s="104" t="inlineStr">
        <is>
          <t xml:space="preserve">R-029</t>
        </is>
      </c>
      <c r="C41" s="76" t="inlineStr">
        <is>
          <t xml:space="preserve">البيانات التقنية والأمنية</t>
        </is>
      </c>
      <c r="D41" s="80" t="inlineStr">
        <is>
          <t xml:space="preserve">انتقال تغيير غير مختبر أو خاطئ من بيئة التطوير إلى بيئة الإنتاج يعطل الخدمات المصرفية الرقمية</t>
        </is>
      </c>
      <c r="E41" s="80" t="inlineStr">
        <is>
          <t xml:space="preserve">عدم كفاية فصل بيئات التطوير والاختبار والإنتاج (فجوة G-04)، ونقص أتمتة الاختبارات الأمنية قبل النشر</t>
        </is>
      </c>
      <c r="F41" s="80" t="inlineStr">
        <is>
          <t xml:space="preserve">سلامة وتوافر (IA)</t>
        </is>
      </c>
      <c r="G41" s="2" t="inlineStr">
        <is>
          <t xml:space="preserve">A.8.31، A.8.32، A.8.29، A.8.25</t>
        </is>
      </c>
    </row>
    <row r="42" spans="2:7" ht="30" x14ac:dyDescent="0.25">
      <c r="B42" s="104" t="inlineStr">
        <is>
          <t xml:space="preserve">R-030</t>
        </is>
      </c>
      <c r="C42" s="76" t="inlineStr">
        <is>
          <t xml:space="preserve">الأصول البشرية</t>
        </is>
      </c>
      <c r="D42" s="80" t="inlineStr">
        <is>
          <t xml:space="preserve">فقدان المعرفة المؤسسية أو نقص الكوادر الأمنية المتخصصة نتيجة دوران الموظفين (12% سنوياً في تقنية المعلومات) أو غياب موظف رئيسي</t>
        </is>
      </c>
      <c r="E42" s="80" t="inlineStr">
        <is>
          <t xml:space="preserve">اعتماد بعض العمليات على أفراد محددين دون توثيق كافٍ، وعدم وجود خطط تعاقب وظيفي للأدوار الأمنية الحرجة</t>
        </is>
      </c>
      <c r="F42" s="80" t="inlineStr">
        <is>
          <t xml:space="preserve">توافر (A)</t>
        </is>
      </c>
      <c r="G42" s="2" t="inlineStr">
        <is>
          <t xml:space="preserve">A.5.4، A.6.3، A.5.2، A.5.37</t>
        </is>
      </c>
    </row>
    <row r="43" spans="2:7" ht="30" x14ac:dyDescent="0.25">
      <c r="B43" s="104" t="inlineStr">
        <is>
          <t xml:space="preserve">R-031</t>
        </is>
      </c>
      <c r="C43" s="76" t="inlineStr">
        <is>
          <t xml:space="preserve">البنية التحتية والأجهزة</t>
        </is>
      </c>
      <c r="D43" s="80" t="inlineStr">
        <is>
          <t xml:space="preserve">تلف أو فقدان وسائط النسخ الاحتياطي أثناء نقلها من مركز البيانات الرئيسي إلى الموقع الخارجي</t>
        </is>
      </c>
      <c r="E43" s="80" t="inlineStr">
        <is>
          <t xml:space="preserve">نقل الأشرطة أسبوعياً عبر مورد خدمات دون تتبع آلي للشحنات أو صناديق مقاومة للحريق والماء</t>
        </is>
      </c>
      <c r="F43" s="80" t="inlineStr">
        <is>
          <t xml:space="preserve">سرية وتوافر (CA)</t>
        </is>
      </c>
      <c r="G43" s="2" t="inlineStr">
        <is>
          <t xml:space="preserve">A.7.10، A.7.14، A.8.13، A.5.14</t>
        </is>
      </c>
    </row>
    <row r="44" spans="2:7" ht="30" x14ac:dyDescent="0.25">
      <c r="B44" s="104" t="inlineStr">
        <is>
          <t xml:space="preserve">R-032</t>
        </is>
      </c>
      <c r="C44" s="76" t="inlineStr">
        <is>
          <t xml:space="preserve">الموردون والخدمات الخارجية</t>
        </is>
      </c>
      <c r="D44" s="80" t="inlineStr">
        <is>
          <t xml:space="preserve">انقطاع أو تدهور أداء الأنظمة غير الحرجة المستضافة سحابياً بما يعطل التقارير التحليلية وبيئات التطوير</t>
        </is>
      </c>
      <c r="E44" s="80" t="inlineStr">
        <is>
          <t xml:space="preserve">اعتماد بعض التقارير التشغيلية على موارد سحابية دون خطة تشغيل بديلة موثقة</t>
        </is>
      </c>
      <c r="F44" s="80" t="inlineStr">
        <is>
          <t xml:space="preserve">توافر (A)</t>
        </is>
      </c>
      <c r="G44" s="2" t="inlineStr">
        <is>
          <t xml:space="preserve">A.5.23، A.8.6، A.5.9</t>
        </is>
      </c>
    </row>
    <row r="45" spans="2:7" ht="30" x14ac:dyDescent="0.25">
      <c r="B45" s="104"/>
      <c r="C45" s="76"/>
      <c r="D45" s="80"/>
      <c r="E45" s="80"/>
      <c r="F45" s="80"/>
      <c r="G45" s="2"/>
    </row>
    <row r="46" spans="2:7" ht="30" x14ac:dyDescent="0.25">
      <c r="B46" s="104"/>
      <c r="C46" s="76"/>
      <c r="D46" s="80"/>
      <c r="E46" s="80"/>
      <c r="F46" s="80"/>
      <c r="G46" s="2"/>
    </row>
    <row r="47" spans="2:7" ht="30" x14ac:dyDescent="0.25">
      <c r="B47" s="104"/>
      <c r="C47" s="76"/>
      <c r="D47" s="80"/>
      <c r="E47" s="80"/>
      <c r="F47" s="80"/>
      <c r="G47" s="2"/>
    </row>
    <row r="48" spans="2:7" ht="30" x14ac:dyDescent="0.25">
      <c r="B48" s="104"/>
      <c r="C48" s="76"/>
      <c r="D48" s="80"/>
      <c r="E48" s="80"/>
      <c r="F48" s="80"/>
      <c r="G48" s="2"/>
    </row>
    <row r="49" spans="2:7" ht="30" x14ac:dyDescent="0.25">
      <c r="B49" s="104"/>
      <c r="C49" s="76"/>
      <c r="D49" s="80"/>
      <c r="E49" s="80"/>
      <c r="F49" s="80"/>
      <c r="G49" s="2"/>
    </row>
    <row r="50" spans="2:7" ht="30" x14ac:dyDescent="0.25">
      <c r="B50" s="104"/>
      <c r="C50" s="76"/>
      <c r="D50" s="80"/>
      <c r="E50" s="80"/>
      <c r="F50" s="80"/>
      <c r="G50" s="2"/>
    </row>
    <row r="51" spans="2:7" ht="30" x14ac:dyDescent="0.25">
      <c r="B51" s="104"/>
      <c r="C51" s="76"/>
      <c r="D51" s="80"/>
      <c r="E51" s="80"/>
      <c r="F51" s="80"/>
      <c r="G51" s="2"/>
    </row>
    <row r="52" spans="2:7" ht="30" x14ac:dyDescent="0.25">
      <c r="B52" s="104"/>
      <c r="C52" s="76"/>
      <c r="D52" s="80"/>
      <c r="E52" s="80"/>
      <c r="F52" s="80"/>
      <c r="G52" s="2"/>
    </row>
    <row r="53" spans="2:7" ht="30" x14ac:dyDescent="0.25">
      <c r="B53" s="104"/>
      <c r="C53" s="76"/>
      <c r="D53" s="80"/>
      <c r="E53" s="80"/>
      <c r="F53" s="80"/>
      <c r="G53" s="2"/>
    </row>
    <row r="54" spans="2:7" ht="30" x14ac:dyDescent="0.25">
      <c r="B54" s="104"/>
      <c r="C54" s="76"/>
      <c r="D54" s="80"/>
      <c r="E54" s="80"/>
      <c r="F54" s="80"/>
      <c r="G54" s="2"/>
    </row>
    <row r="55" spans="2:7" ht="45" x14ac:dyDescent="0.25">
      <c r="B55" s="104"/>
      <c r="C55" s="76"/>
      <c r="D55" s="80"/>
      <c r="E55" s="80"/>
      <c r="F55" s="80"/>
      <c r="G55" s="2"/>
    </row>
    <row r="56" spans="2:7" ht="30" x14ac:dyDescent="0.25">
      <c r="B56" s="104"/>
      <c r="C56" s="76"/>
      <c r="D56" s="80"/>
      <c r="E56" s="80"/>
      <c r="F56" s="80"/>
      <c r="G56" s="2"/>
    </row>
    <row r="57" spans="2:7" ht="30" x14ac:dyDescent="0.25">
      <c r="B57" s="104"/>
      <c r="C57" s="76"/>
      <c r="D57" s="80"/>
      <c r="E57" s="80"/>
      <c r="F57" s="80"/>
      <c r="G57" s="2"/>
    </row>
    <row r="58" spans="2:7" ht="30" x14ac:dyDescent="0.25">
      <c r="B58" s="104"/>
      <c r="C58" s="76"/>
      <c r="D58" s="80"/>
      <c r="E58" s="80"/>
      <c r="F58" s="80"/>
      <c r="G58" s="80"/>
    </row>
    <row r="59" spans="2:7" ht="30" x14ac:dyDescent="0.25">
      <c r="B59" s="104"/>
      <c r="C59" s="76"/>
      <c r="D59" s="80"/>
      <c r="E59" s="80"/>
      <c r="F59" s="80"/>
      <c r="G59" s="2"/>
    </row>
    <row r="60" spans="2:7" ht="45" x14ac:dyDescent="0.25">
      <c r="B60" s="104"/>
      <c r="C60" s="76"/>
      <c r="D60" s="80"/>
      <c r="E60" s="80"/>
      <c r="F60" s="80"/>
      <c r="G60" s="2"/>
    </row>
    <row r="61" spans="2:7" ht="30" x14ac:dyDescent="0.25">
      <c r="B61" s="104"/>
      <c r="C61" s="76"/>
      <c r="D61" s="80"/>
      <c r="E61" s="80"/>
      <c r="F61" s="80"/>
      <c r="G61" s="2"/>
    </row>
    <row r="62" spans="2:7" ht="30" x14ac:dyDescent="0.25">
      <c r="B62" s="104"/>
      <c r="C62" s="76"/>
      <c r="D62" s="80"/>
      <c r="E62" s="80"/>
      <c r="F62" s="80"/>
      <c r="G62" s="2"/>
    </row>
    <row r="63" spans="2:7" ht="30" x14ac:dyDescent="0.25">
      <c r="B63" s="104"/>
      <c r="C63" s="76"/>
      <c r="D63" s="80"/>
      <c r="E63" s="80"/>
      <c r="F63" s="80"/>
      <c r="G63" s="2"/>
    </row>
    <row r="64" spans="2:7" ht="30" x14ac:dyDescent="0.25">
      <c r="B64" s="104"/>
      <c r="C64" s="76"/>
      <c r="D64" s="80"/>
      <c r="E64" s="80"/>
      <c r="F64" s="80"/>
      <c r="G64" s="2"/>
    </row>
    <row r="65" spans="2:7" ht="30" x14ac:dyDescent="0.25">
      <c r="B65" s="104"/>
      <c r="C65" s="76"/>
      <c r="D65" s="80"/>
      <c r="E65" s="80"/>
      <c r="F65" s="80"/>
      <c r="G65" s="2"/>
    </row>
    <row r="66" spans="2:7" ht="30" x14ac:dyDescent="0.25">
      <c r="B66" s="104"/>
      <c r="C66" s="76"/>
      <c r="D66" s="80"/>
      <c r="E66" s="80"/>
      <c r="F66" s="80"/>
      <c r="G66" s="2"/>
    </row>
    <row r="67" spans="2:7" ht="45" x14ac:dyDescent="0.25">
      <c r="B67" s="104"/>
      <c r="C67" s="76"/>
      <c r="D67" s="80"/>
      <c r="E67" s="80"/>
      <c r="F67" s="80"/>
      <c r="G67" s="2"/>
    </row>
    <row r="68" spans="2:7" ht="30" x14ac:dyDescent="0.25">
      <c r="B68" s="104"/>
      <c r="C68" s="76"/>
      <c r="D68" s="80"/>
      <c r="E68" s="80"/>
      <c r="F68" s="80"/>
      <c r="G68" s="2"/>
    </row>
    <row r="69" spans="2:7" ht="30" x14ac:dyDescent="0.25">
      <c r="B69" s="104"/>
      <c r="C69" s="76"/>
      <c r="D69" s="80"/>
      <c r="E69" s="80"/>
      <c r="F69" s="80"/>
      <c r="G69" s="2"/>
    </row>
    <row r="70" spans="2:7" ht="30" x14ac:dyDescent="0.25">
      <c r="B70" s="104"/>
      <c r="C70" s="76"/>
      <c r="D70" s="80"/>
      <c r="E70" s="80"/>
      <c r="F70" s="80"/>
      <c r="G70" s="2"/>
    </row>
    <row r="71" spans="2:7" ht="30" x14ac:dyDescent="0.25">
      <c r="B71" s="104"/>
      <c r="C71" s="76"/>
      <c r="D71" s="80"/>
      <c r="E71" s="80"/>
      <c r="F71" s="80"/>
      <c r="G71" s="2"/>
    </row>
    <row r="72" spans="2:7" ht="30" x14ac:dyDescent="0.25">
      <c r="B72" s="104"/>
      <c r="C72" s="76"/>
      <c r="D72" s="80"/>
      <c r="E72" s="80"/>
      <c r="F72" s="80"/>
      <c r="G72" s="2"/>
    </row>
    <row r="73" spans="2:7" ht="45" x14ac:dyDescent="0.25">
      <c r="B73" s="104"/>
      <c r="C73" s="76"/>
      <c r="D73" s="80"/>
      <c r="E73" s="80"/>
      <c r="F73" s="80"/>
      <c r="G73" s="2"/>
    </row>
    <row r="74" spans="2:7" ht="30" x14ac:dyDescent="0.25">
      <c r="B74" s="104"/>
      <c r="C74" s="76"/>
      <c r="D74" s="80"/>
      <c r="E74" s="80"/>
      <c r="F74" s="80"/>
      <c r="G74" s="2"/>
    </row>
    <row r="75" spans="2:7" ht="45" x14ac:dyDescent="0.25">
      <c r="B75" s="104"/>
      <c r="C75" s="76"/>
      <c r="D75" s="80"/>
      <c r="E75" s="80"/>
      <c r="F75" s="80"/>
      <c r="G75" s="2"/>
    </row>
    <row r="76" spans="2:7" ht="45" x14ac:dyDescent="0.25">
      <c r="B76" s="104"/>
      <c r="C76" s="76"/>
      <c r="D76" s="80"/>
      <c r="E76" s="80"/>
      <c r="F76" s="80"/>
      <c r="G76" s="2"/>
    </row>
    <row r="77" spans="2:7" ht="45" x14ac:dyDescent="0.25">
      <c r="B77" s="104"/>
      <c r="C77" s="76"/>
      <c r="D77" s="80"/>
      <c r="E77" s="80"/>
      <c r="F77" s="80"/>
      <c r="G77" s="2"/>
    </row>
    <row r="78" spans="2:7" x14ac:dyDescent="0.25">
      <c r="B78" s="104"/>
      <c r="C78" s="76"/>
      <c r="D78" s="80"/>
      <c r="E78" s="80"/>
      <c r="F78" s="80"/>
      <c r="G78" s="2"/>
    </row>
    <row r="79" spans="2:7" ht="30" x14ac:dyDescent="0.25">
      <c r="B79" s="104"/>
      <c r="C79" s="76"/>
      <c r="D79" s="80"/>
      <c r="E79" s="80"/>
      <c r="F79" s="80"/>
      <c r="G79" s="2"/>
    </row>
    <row r="80" spans="2:7" ht="30" x14ac:dyDescent="0.25">
      <c r="B80" s="104"/>
      <c r="C80" s="76"/>
      <c r="D80" s="80"/>
      <c r="E80" s="80"/>
      <c r="F80" s="80"/>
      <c r="G80" s="2"/>
    </row>
    <row r="81" spans="2:7" x14ac:dyDescent="0.25">
      <c r="B81" s="104"/>
      <c r="C81" s="76"/>
      <c r="D81" s="80"/>
      <c r="E81" s="80"/>
      <c r="F81" s="80"/>
      <c r="G81" s="2"/>
    </row>
    <row r="82" spans="2:7" ht="30" x14ac:dyDescent="0.25">
      <c r="B82" s="104"/>
      <c r="C82" s="76"/>
      <c r="D82" s="80"/>
      <c r="E82" s="80"/>
      <c r="F82" s="80"/>
      <c r="G82" s="2"/>
    </row>
    <row r="83" spans="2:7" ht="30" x14ac:dyDescent="0.25">
      <c r="B83" s="104"/>
      <c r="C83" s="76"/>
      <c r="D83" s="80"/>
      <c r="E83" s="80"/>
      <c r="F83" s="80"/>
      <c r="G83" s="2"/>
    </row>
    <row r="84" spans="2:7" ht="45" x14ac:dyDescent="0.25">
      <c r="B84" s="104"/>
      <c r="C84" s="76"/>
      <c r="D84" s="80"/>
      <c r="E84" s="80"/>
      <c r="F84" s="80"/>
      <c r="G84" s="2"/>
    </row>
    <row r="85" spans="2:7" ht="30" x14ac:dyDescent="0.25">
      <c r="B85" s="104"/>
      <c r="C85" s="76"/>
      <c r="D85" s="80"/>
      <c r="E85" s="80"/>
      <c r="F85" s="80"/>
      <c r="G85" s="2"/>
    </row>
    <row r="86" spans="2:7" ht="30" x14ac:dyDescent="0.25">
      <c r="B86" s="104"/>
      <c r="C86" s="76"/>
      <c r="D86" s="80"/>
      <c r="E86" s="80"/>
      <c r="F86" s="80"/>
      <c r="G86" s="2"/>
    </row>
    <row r="87" spans="2:7" ht="45" x14ac:dyDescent="0.25">
      <c r="B87" s="104"/>
      <c r="C87" s="76"/>
      <c r="D87" s="80"/>
      <c r="E87" s="80"/>
      <c r="F87" s="80"/>
      <c r="G87" s="2"/>
    </row>
    <row r="88" spans="2:7" ht="30" x14ac:dyDescent="0.25">
      <c r="B88" s="104"/>
      <c r="C88" s="76"/>
      <c r="D88" s="80"/>
      <c r="E88" s="80"/>
      <c r="F88" s="80"/>
      <c r="G88" s="2"/>
    </row>
    <row r="89" spans="2:7" ht="45" x14ac:dyDescent="0.25">
      <c r="B89" s="104"/>
      <c r="C89" s="76"/>
      <c r="D89" s="80"/>
      <c r="E89" s="80"/>
      <c r="F89" s="80"/>
      <c r="G89" s="2"/>
    </row>
    <row r="90" spans="2:7" ht="45" x14ac:dyDescent="0.25">
      <c r="B90" s="104"/>
      <c r="C90" s="76"/>
      <c r="D90" s="80"/>
      <c r="E90" s="80"/>
      <c r="F90" s="80"/>
      <c r="G90" s="2"/>
    </row>
    <row r="91" spans="2:7" ht="30" x14ac:dyDescent="0.25">
      <c r="B91" s="104"/>
      <c r="C91" s="76"/>
      <c r="D91" s="80"/>
      <c r="E91" s="80"/>
      <c r="F91" s="80"/>
      <c r="G91" s="2"/>
    </row>
    <row r="92" spans="2:7" ht="30" x14ac:dyDescent="0.25">
      <c r="B92" s="104"/>
      <c r="C92" s="76"/>
      <c r="D92" s="80"/>
      <c r="E92" s="80"/>
      <c r="F92" s="80"/>
      <c r="G92" s="2"/>
    </row>
    <row r="93" spans="2:7" ht="30" x14ac:dyDescent="0.25">
      <c r="B93" s="104"/>
      <c r="C93" s="76"/>
      <c r="D93" s="80"/>
      <c r="E93" s="80"/>
      <c r="F93" s="80"/>
      <c r="G93" s="2"/>
    </row>
    <row r="94" spans="2:7" ht="30" x14ac:dyDescent="0.25">
      <c r="B94" s="104"/>
      <c r="C94" s="76"/>
      <c r="D94" s="80"/>
      <c r="E94" s="80"/>
      <c r="F94" s="80"/>
      <c r="G94" s="2"/>
    </row>
    <row r="95" spans="2:7" ht="30" x14ac:dyDescent="0.25">
      <c r="B95" s="104"/>
      <c r="C95" s="76"/>
      <c r="D95" s="80"/>
      <c r="E95" s="80"/>
      <c r="F95" s="80"/>
      <c r="G95" s="2"/>
    </row>
    <row r="96" spans="2:7" ht="30" x14ac:dyDescent="0.25">
      <c r="B96" s="104"/>
      <c r="C96" s="76"/>
      <c r="D96" s="80"/>
      <c r="E96" s="80"/>
      <c r="F96" s="80"/>
      <c r="G96" s="2"/>
    </row>
    <row r="97" spans="2:7" ht="30" x14ac:dyDescent="0.25">
      <c r="B97" s="104"/>
      <c r="C97" s="76"/>
      <c r="D97" s="80"/>
      <c r="E97" s="80"/>
      <c r="F97" s="80"/>
      <c r="G97" s="2"/>
    </row>
    <row r="98" spans="2:7" ht="30" x14ac:dyDescent="0.25">
      <c r="B98" s="104"/>
      <c r="C98" s="76"/>
      <c r="D98" s="80"/>
      <c r="E98" s="80"/>
      <c r="F98" s="80"/>
      <c r="G98" s="2"/>
    </row>
    <row r="99" spans="2:7" ht="30" x14ac:dyDescent="0.25">
      <c r="B99" s="104"/>
      <c r="C99" s="76"/>
      <c r="D99" s="80"/>
      <c r="E99" s="80"/>
      <c r="F99" s="80"/>
      <c r="G99" s="2"/>
    </row>
    <row r="100" spans="2:7" ht="30" x14ac:dyDescent="0.25">
      <c r="B100" s="104"/>
      <c r="C100" s="76"/>
      <c r="D100" s="80"/>
      <c r="E100" s="80"/>
      <c r="F100" s="80"/>
      <c r="G100" s="2"/>
    </row>
    <row r="101" spans="2:7" ht="30" x14ac:dyDescent="0.25">
      <c r="B101" s="104"/>
      <c r="C101" s="76"/>
      <c r="D101" s="80"/>
      <c r="E101" s="80"/>
      <c r="F101" s="80"/>
      <c r="G101" s="2"/>
    </row>
    <row r="102" spans="2:7" ht="45" x14ac:dyDescent="0.25">
      <c r="B102" s="104"/>
      <c r="C102" s="76"/>
      <c r="D102" s="80"/>
      <c r="E102" s="80"/>
      <c r="F102" s="80"/>
      <c r="G102" s="2"/>
    </row>
    <row r="103" spans="2:7" ht="45" x14ac:dyDescent="0.25">
      <c r="B103" s="104"/>
      <c r="C103" s="76"/>
      <c r="D103" s="80"/>
      <c r="E103" s="80"/>
      <c r="F103" s="80"/>
      <c r="G103" s="2"/>
    </row>
    <row r="104" spans="2:7" ht="45" x14ac:dyDescent="0.25">
      <c r="B104" s="104"/>
      <c r="C104" s="76"/>
      <c r="D104" s="80"/>
      <c r="E104" s="80"/>
      <c r="F104" s="80"/>
      <c r="G104" s="2"/>
    </row>
    <row r="105" spans="2:7" ht="30" x14ac:dyDescent="0.25">
      <c r="B105" s="104"/>
      <c r="C105" s="76"/>
      <c r="D105" s="80"/>
      <c r="E105" s="80"/>
      <c r="F105" s="80"/>
      <c r="G105" s="2"/>
    </row>
    <row r="106" spans="2:7" ht="30" x14ac:dyDescent="0.25">
      <c r="B106" s="104"/>
      <c r="C106" s="76"/>
      <c r="D106" s="80"/>
      <c r="E106" s="80"/>
      <c r="F106" s="80"/>
      <c r="G106" s="2"/>
    </row>
    <row r="107" spans="2:7" ht="30" x14ac:dyDescent="0.25">
      <c r="B107" s="104"/>
      <c r="C107" s="76"/>
      <c r="D107" s="80"/>
      <c r="E107" s="80"/>
      <c r="F107" s="80"/>
      <c r="G107" s="2"/>
    </row>
    <row r="108" spans="2:7" ht="45" x14ac:dyDescent="0.25">
      <c r="B108" s="104"/>
      <c r="C108" s="76"/>
      <c r="D108" s="80"/>
      <c r="E108" s="80"/>
      <c r="F108" s="80"/>
      <c r="G108" s="2"/>
    </row>
    <row r="109" spans="2:7" ht="45" x14ac:dyDescent="0.25">
      <c r="B109" s="104"/>
      <c r="C109" s="76"/>
      <c r="D109" s="80"/>
      <c r="E109" s="76"/>
      <c r="F109" s="80"/>
      <c r="G109" s="2"/>
    </row>
    <row r="110" spans="2:7" ht="45" x14ac:dyDescent="0.25">
      <c r="B110" s="104"/>
      <c r="C110" s="76"/>
      <c r="D110" s="80"/>
      <c r="E110" s="80"/>
      <c r="F110" s="80"/>
      <c r="G110" s="2"/>
    </row>
    <row r="111" spans="2:7" ht="30" x14ac:dyDescent="0.25">
      <c r="B111" s="104"/>
      <c r="C111" s="76"/>
      <c r="D111" s="80"/>
      <c r="E111" s="80"/>
      <c r="F111" s="80"/>
      <c r="G111" s="2"/>
    </row>
    <row r="112" spans="2:7" ht="45" x14ac:dyDescent="0.25">
      <c r="B112" s="104"/>
      <c r="C112" s="76"/>
      <c r="D112" s="80"/>
      <c r="E112" s="80"/>
      <c r="F112" s="80"/>
      <c r="G112" s="2"/>
    </row>
    <row r="113" spans="2:7" ht="45" x14ac:dyDescent="0.25">
      <c r="B113" s="104"/>
      <c r="C113" s="76"/>
      <c r="D113" s="80"/>
      <c r="E113" s="80"/>
      <c r="F113" s="80"/>
      <c r="G113" s="2"/>
    </row>
    <row r="114" spans="2:7" ht="45" x14ac:dyDescent="0.25">
      <c r="B114" s="104"/>
      <c r="C114" s="76"/>
      <c r="D114" s="80"/>
      <c r="E114" s="80"/>
      <c r="F114" s="80"/>
      <c r="G114" s="2"/>
    </row>
    <row r="115" spans="2:7" ht="30" x14ac:dyDescent="0.25">
      <c r="B115" s="104"/>
      <c r="C115" s="76"/>
      <c r="D115" s="80"/>
      <c r="E115" s="80"/>
      <c r="F115" s="80"/>
      <c r="G115" s="2"/>
    </row>
    <row r="116" spans="2:7" ht="30" x14ac:dyDescent="0.25">
      <c r="B116" s="104"/>
      <c r="C116" s="76"/>
      <c r="D116" s="80"/>
      <c r="E116" s="80"/>
      <c r="F116" s="80"/>
      <c r="G116" s="2"/>
    </row>
    <row r="117" spans="2:7" ht="45" x14ac:dyDescent="0.25">
      <c r="B117" s="104"/>
      <c r="C117" s="76"/>
      <c r="D117" s="80"/>
      <c r="E117" s="80"/>
      <c r="F117" s="80"/>
      <c r="G117" s="2"/>
    </row>
    <row r="118" spans="2:7" ht="30" x14ac:dyDescent="0.25">
      <c r="B118" s="104"/>
      <c r="C118" s="76"/>
      <c r="D118" s="80"/>
      <c r="E118" s="76"/>
      <c r="F118" s="80"/>
      <c r="G118" s="2"/>
    </row>
    <row r="119" spans="2:7" ht="30" x14ac:dyDescent="0.25">
      <c r="B119" s="104"/>
      <c r="C119" s="76"/>
      <c r="D119" s="80"/>
      <c r="E119" s="80"/>
      <c r="F119" s="80"/>
      <c r="G119" s="2"/>
    </row>
    <row r="120" spans="2:7" ht="45" x14ac:dyDescent="0.25">
      <c r="B120" s="104"/>
      <c r="C120" s="76"/>
      <c r="D120" s="80"/>
      <c r="E120" s="80"/>
      <c r="F120" s="80"/>
      <c r="G120" s="2"/>
    </row>
    <row r="121" spans="2:7" ht="30" x14ac:dyDescent="0.25">
      <c r="B121" s="104"/>
      <c r="C121" s="76"/>
      <c r="D121" s="80"/>
      <c r="E121" s="80"/>
      <c r="F121" s="80"/>
      <c r="G121" s="2"/>
    </row>
    <row r="122" spans="2:7" ht="30" x14ac:dyDescent="0.25">
      <c r="B122" s="104"/>
      <c r="C122" s="76"/>
      <c r="D122" s="80"/>
      <c r="E122" s="80"/>
      <c r="F122" s="80"/>
      <c r="G122" s="2"/>
    </row>
    <row r="123" spans="2:7" ht="30" x14ac:dyDescent="0.25">
      <c r="B123" s="104"/>
      <c r="C123" s="76"/>
      <c r="D123" s="80"/>
      <c r="E123" s="80"/>
      <c r="F123" s="80"/>
      <c r="G123" s="2"/>
    </row>
    <row r="124" spans="2:7" ht="45" x14ac:dyDescent="0.25">
      <c r="B124" s="104"/>
      <c r="C124" s="76"/>
      <c r="D124" s="80"/>
      <c r="E124" s="80"/>
      <c r="F124" s="80"/>
      <c r="G124" s="2"/>
    </row>
    <row r="125" spans="2:7" ht="45" x14ac:dyDescent="0.25">
      <c r="B125" s="104"/>
      <c r="C125" s="76"/>
      <c r="D125" s="80"/>
      <c r="E125" s="80"/>
      <c r="F125" s="80"/>
      <c r="G125" s="2"/>
    </row>
    <row r="126" spans="2:7" ht="45" x14ac:dyDescent="0.25">
      <c r="B126" s="104"/>
      <c r="C126" s="76"/>
      <c r="D126" s="80"/>
      <c r="E126" s="80"/>
      <c r="F126" s="80"/>
      <c r="G126" s="2"/>
    </row>
    <row r="127" spans="2:7" ht="30" x14ac:dyDescent="0.25">
      <c r="B127" s="104"/>
      <c r="C127" s="76"/>
      <c r="D127" s="80"/>
      <c r="E127" s="80"/>
      <c r="F127" s="80"/>
      <c r="G127" s="2"/>
    </row>
    <row r="128" spans="2:7" ht="30" x14ac:dyDescent="0.25">
      <c r="B128" s="104"/>
      <c r="C128" s="76"/>
      <c r="D128" s="80"/>
      <c r="E128" s="80"/>
      <c r="F128" s="80"/>
      <c r="G128" s="2"/>
    </row>
    <row r="129" spans="2:7" ht="45" x14ac:dyDescent="0.25">
      <c r="B129" s="104"/>
      <c r="C129" s="76"/>
      <c r="D129" s="80"/>
      <c r="E129" s="80"/>
      <c r="F129" s="80"/>
      <c r="G129" s="2"/>
    </row>
    <row r="130" spans="2:7" ht="45" x14ac:dyDescent="0.25">
      <c r="B130" s="104"/>
      <c r="C130" s="76"/>
      <c r="D130" s="80"/>
      <c r="E130" s="80"/>
      <c r="F130" s="80"/>
      <c r="G130" s="2"/>
    </row>
    <row r="131" spans="2:7" ht="45" x14ac:dyDescent="0.25">
      <c r="B131" s="104"/>
      <c r="C131" s="76"/>
      <c r="D131" s="80"/>
      <c r="E131" s="80"/>
      <c r="F131" s="80"/>
      <c r="G131" s="2"/>
    </row>
    <row r="132" spans="2:7" ht="45" x14ac:dyDescent="0.25">
      <c r="B132" s="104"/>
      <c r="C132" s="76"/>
      <c r="D132" s="80"/>
      <c r="E132" s="80"/>
      <c r="F132" s="80"/>
      <c r="G132" s="2"/>
    </row>
    <row r="133" spans="2:7" ht="15.75" thickBot="1" x14ac:dyDescent="0.3">
      <c r="B133" s="81"/>
      <c r="C133" s="81"/>
      <c r="D133" s="81"/>
      <c r="E133" s="81"/>
      <c r="F133" s="81"/>
      <c r="G133" s="81"/>
    </row>
    <row r="134" spans="2:7" ht="15.75" thickTop="1" x14ac:dyDescent="0.25"/>
  </sheetData>
  <sheetProtection selectLockedCells="1" selectUnlockedCells="1"/>
  <pageMargins left="0.70866141732283472" right="0.70866141732283472" top="0.74803149606299213" bottom="0.74803149606299213" header="0.31496062992125984" footer="0.31496062992125984"/>
  <pageSetup paperSize="9" scale="66" fitToHeight="0" orientation="landscape" horizontalDpi="1200" verticalDpi="1200" r:id="rId1"/>
  <headerFooter>
    <oddFooter>&amp;L&amp;D&amp;Cالصفحة &amp;P من &amp;N&amp;Rسري - استخدام داخلي</oddFooter>
  </headerFooter>
  <drawing r:id="rId2"/>
</worksheet>
</file>

<file path=xl/worksheets/sheet1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13864-B429-4FF2-89FF-887E526021F1}">
  <sheetPr>
    <pageSetUpPr fitToPage="1"/>
  </sheetPr>
  <dimension ref="B2:F169"/>
  <sheetViews>
    <sheetView showGridLines="0" workbookViewId="0"/>
  </sheetViews>
  <sheetFormatPr defaultColWidth="9.140625" defaultRowHeight="15" x14ac:dyDescent="0.25"/>
  <cols>
    <col min="1" max="1" width="2.85546875" style="20" customWidth="1"/>
    <col min="2" max="2" width="18.5703125" style="20" customWidth="1"/>
    <col min="3" max="3" width="22.28515625" style="20" customWidth="1"/>
    <col min="4" max="4" width="51.28515625" style="20" customWidth="1"/>
    <col min="5" max="16384" width="9.140625" style="20"/>
  </cols>
  <sheetData>
    <row r="2" spans="2:4" x14ac:dyDescent="0.25">
      <c r="B2" s="19"/>
      <c r="C2" s="19"/>
    </row>
    <row r="3" spans="2:4" x14ac:dyDescent="0.25">
      <c r="B3" s="19"/>
      <c r="C3" s="19"/>
    </row>
    <row r="4" spans="2:4" x14ac:dyDescent="0.25">
      <c r="B4" s="19"/>
      <c r="C4" s="19"/>
    </row>
    <row r="5" spans="2:4" x14ac:dyDescent="0.25">
      <c r="B5" s="19"/>
      <c r="C5" s="19"/>
    </row>
    <row r="6" spans="2:4" x14ac:dyDescent="0.25">
      <c r="B6" s="19"/>
      <c r="C6" s="19"/>
    </row>
    <row r="7" spans="2:4" x14ac:dyDescent="0.25">
      <c r="B7" s="19"/>
      <c r="C7" s="19"/>
    </row>
    <row r="8" spans="2:4" ht="21" x14ac:dyDescent="0.25">
      <c r="B8" s="21" t="inlineStr">
        <is>
          <t xml:space="preserve">قائمة أصول المعلومات المرجعية</t>
        </is>
      </c>
      <c r="C8" s="21"/>
      <c r="D8" s="76"/>
    </row>
    <row r="9" spans="2:4" x14ac:dyDescent="0.25">
      <c r="B9" s="76" t="inlineStr">
        <is>
          <t xml:space="preserve">القائمة أدناه مستخرجة من جرد أصول المعلومات المعتمد (ISMS-DOC-A05-9-2) وتُستخدم مرجعاً لاختيار الأصل المناسب عند تسجيل كل خطر في ورقة تقييم المخاطر.</t>
        </is>
      </c>
      <c r="C9" s="76"/>
      <c r="D9" s="76"/>
    </row>
    <row r="10" spans="2:4" x14ac:dyDescent="0.25">
      <c r="B10" s="76" t="inlineStr">
        <is>
          <t xml:space="preserve">ملاحظة: تفاصيل كل أصل (الوصف، الغرض، المالك، التصنيف، الأهمية، الحساسية، مدة الاحتفاظ) موثقة في ورقة جرد أصول المعلومات، ويرتبط كل أصل هنا بمرجعه الموحد (A-001 إلى A-048).</t>
        </is>
      </c>
      <c r="C10" s="76"/>
      <c r="D10" s="76"/>
    </row>
    <row r="11" spans="2:4" x14ac:dyDescent="0.25">
      <c r="B11" s="76"/>
      <c r="C11" s="76"/>
      <c r="D11" s="76"/>
    </row>
    <row r="12" spans="2:4" ht="21" customHeight="1" x14ac:dyDescent="0.25">
      <c r="B12" s="36" t="inlineStr">
        <is>
          <t xml:space="preserve"> مجموعة الأصل</t>
        </is>
      </c>
      <c r="C12" s="36" t="inlineStr">
        <is>
          <t xml:space="preserve">النوع</t>
        </is>
      </c>
      <c r="D12" s="37" t="inlineStr">
        <is>
          <t xml:space="preserve">الأصل</t>
        </is>
      </c>
    </row>
    <row r="13" spans="2:4" ht="15.75" x14ac:dyDescent="0.25">
      <c r="B13" s="8" t="inlineStr">
        <is>
          <t xml:space="preserve">بيانات العملاء</t>
        </is>
      </c>
      <c r="C13" t="inlineStr">
        <is>
          <t xml:space="preserve">معلومات</t>
        </is>
      </c>
      <c r="D13" t="inlineStr">
        <is>
          <t xml:space="preserve">A-001 - قاعدة بيانات العملاء الرئيسية (Oracle)</t>
        </is>
      </c>
    </row>
    <row r="14" spans="2:4" x14ac:dyDescent="0.25">
      <c r="B14"/>
      <c r="C14" t="inlineStr">
        <is>
          <t xml:space="preserve">معلومات</t>
        </is>
      </c>
      <c r="D14" t="inlineStr">
        <is>
          <t xml:space="preserve">A-006 - بيانات الاشتراك في الخدمات الرقمية</t>
        </is>
      </c>
    </row>
    <row r="15" spans="2:4" x14ac:dyDescent="0.25">
      <c r="B15"/>
      <c r="C15" t="inlineStr">
        <is>
          <t xml:space="preserve">معلومات</t>
        </is>
      </c>
      <c r="D15" t="inlineStr">
        <is>
          <t xml:space="preserve">A-007 - البيانات البيومترية للعملاء</t>
        </is>
      </c>
    </row>
    <row r="16" spans="2:4" ht="15.75" thickBot="1" x14ac:dyDescent="0.3">
      <c r="B16" s="82"/>
      <c r="C16" s="82" t="inlineStr">
        <is>
          <t xml:space="preserve">معلومات</t>
        </is>
      </c>
      <c r="D16" s="82" t="inlineStr">
        <is>
          <t xml:space="preserve">A-008 - سجلات التواصل مع العملاء</t>
        </is>
      </c>
    </row>
    <row r="17" spans="2:4" ht="16.5" thickTop="1" x14ac:dyDescent="0.25">
      <c r="B17" s="8" t="inlineStr">
        <is>
          <t xml:space="preserve">بيانات الموظفين</t>
        </is>
      </c>
      <c r="C17" t="inlineStr">
        <is>
          <t xml:space="preserve">معلومات</t>
        </is>
      </c>
      <c r="D17" t="inlineStr">
        <is>
          <t xml:space="preserve">A-003 - قاعدة بيانات الموارد البشرية والرواتب (SQL Server)</t>
        </is>
      </c>
    </row>
    <row r="18" spans="2:4" x14ac:dyDescent="0.25">
      <c r="B18" t="inlineStr">
        <is>
          <t xml:space="preserve">البيانات المالية والمحاسبية</t>
        </is>
      </c>
      <c r="C18" t="inlineStr">
        <is>
          <t xml:space="preserve">معلومات</t>
        </is>
      </c>
      <c r="D18" t="inlineStr">
        <is>
          <t xml:space="preserve">A-002 - قاعدة بيانات المعاملات المالية (Oracle)</t>
        </is>
      </c>
    </row>
    <row r="19" spans="2:4" x14ac:dyDescent="0.25">
      <c r="B19"/>
      <c r="C19" t="inlineStr">
        <is>
          <t xml:space="preserve">معلومات</t>
        </is>
      </c>
      <c r="D19" t="inlineStr">
        <is>
          <t xml:space="preserve">A-005 - مستودع البيانات (Data Warehouse)</t>
        </is>
      </c>
    </row>
    <row r="20" spans="2:4" x14ac:dyDescent="0.25">
      <c r="B20"/>
      <c r="C20" t="inlineStr">
        <is>
          <t xml:space="preserve">معلومات</t>
        </is>
      </c>
      <c r="D20" t="inlineStr">
        <is>
          <t xml:space="preserve">A-009 - البيانات المالية والمحاسبية</t>
        </is>
      </c>
    </row>
    <row r="21" spans="2:4" x14ac:dyDescent="0.25">
      <c r="B21"/>
      <c r="C21" t="inlineStr">
        <is>
          <t xml:space="preserve">معلومات</t>
        </is>
      </c>
      <c r="D21" t="inlineStr">
        <is>
          <t xml:space="preserve">A-010 - بيانات الخزينة والاستثمار</t>
        </is>
      </c>
    </row>
    <row r="22" spans="2:4" x14ac:dyDescent="0.25">
      <c r="B22" t="inlineStr">
        <is>
          <t xml:space="preserve">البيانات التنظيمية والحوكمة</t>
        </is>
      </c>
      <c r="C22" t="inlineStr">
        <is>
          <t xml:space="preserve">معلومات</t>
        </is>
      </c>
      <c r="D22" t="inlineStr">
        <is>
          <t xml:space="preserve">A-011 - البيانات التنظيمية والحوكمة</t>
        </is>
      </c>
    </row>
    <row r="23" spans="2:4" x14ac:dyDescent="0.25">
      <c r="B23"/>
      <c r="C23" t="inlineStr">
        <is>
          <t xml:space="preserve">معلومات</t>
        </is>
      </c>
      <c r="D23" t="inlineStr">
        <is>
          <t xml:space="preserve">A-012 - وثائق نظام إدارة أمن المعلومات (ISMS)</t>
        </is>
      </c>
    </row>
    <row r="24" spans="2:4" x14ac:dyDescent="0.25">
      <c r="B24" t="inlineStr">
        <is>
          <t xml:space="preserve">البيانات التقنية والأمنية</t>
        </is>
      </c>
      <c r="C24" t="inlineStr">
        <is>
          <t xml:space="preserve">معلومات</t>
        </is>
      </c>
      <c r="D24" t="inlineStr">
        <is>
          <t xml:space="preserve">A-013 - الكود المصدري لتطبيقات البنك</t>
        </is>
      </c>
    </row>
    <row r="25" spans="2:4" x14ac:dyDescent="0.25">
      <c r="B25"/>
      <c r="C25" t="inlineStr">
        <is>
          <t xml:space="preserve">معلومات</t>
        </is>
      </c>
      <c r="D25" t="inlineStr">
        <is>
          <t xml:space="preserve">A-014 - وثائق ومخططات البنية التحتية للشبكة</t>
        </is>
      </c>
    </row>
    <row r="26" spans="2:4" x14ac:dyDescent="0.25">
      <c r="B26"/>
      <c r="C26" t="inlineStr">
        <is>
          <t xml:space="preserve">معلومات</t>
        </is>
      </c>
      <c r="D26" t="inlineStr">
        <is>
          <t xml:space="preserve">A-015 - كلمات المرور الإدارية ومفاتيح الوصول</t>
        </is>
      </c>
    </row>
    <row r="27" spans="2:4" x14ac:dyDescent="0.25">
      <c r="B27"/>
      <c r="C27" t="inlineStr">
        <is>
          <t xml:space="preserve">معلومات</t>
        </is>
      </c>
      <c r="D27" t="inlineStr">
        <is>
          <t xml:space="preserve">A-016 - مفاتيح التشفير والشهادات الرقمية</t>
        </is>
      </c>
    </row>
    <row r="28" spans="2:4" x14ac:dyDescent="0.25">
      <c r="B28"/>
      <c r="C28" t="inlineStr">
        <is>
          <t xml:space="preserve">معلومات</t>
        </is>
      </c>
      <c r="D28" t="inlineStr">
        <is>
          <t xml:space="preserve">A-017 - سجلات الأمان والأحداث (Security &amp; Event Logs)</t>
        </is>
      </c>
    </row>
    <row r="29" spans="2:4" x14ac:dyDescent="0.25">
      <c r="B29"/>
      <c r="C29" t="inlineStr">
        <is>
          <t xml:space="preserve">معلومات</t>
        </is>
      </c>
      <c r="D29" t="inlineStr">
        <is>
          <t xml:space="preserve">A-018 - تقارير فحص الثغرات واختبارات الاختراق</t>
        </is>
      </c>
    </row>
    <row r="30" spans="2:4" x14ac:dyDescent="0.25">
      <c r="B30"/>
      <c r="C30" t="inlineStr">
        <is>
          <t xml:space="preserve">معلومات</t>
        </is>
      </c>
      <c r="D30" t="inlineStr">
        <is>
          <t xml:space="preserve">A-019 - خطط استمرارية الأعمال والتعافي من الكوارث</t>
        </is>
      </c>
    </row>
    <row r="31" spans="2:4" x14ac:dyDescent="0.25">
      <c r="B31" t="inlineStr">
        <is>
          <t xml:space="preserve">التطبيقات المصرفية</t>
        </is>
      </c>
      <c r="C31" t="inlineStr">
        <is>
          <t xml:space="preserve">برمجيات</t>
        </is>
      </c>
      <c r="D31" t="inlineStr">
        <is>
          <t xml:space="preserve">A-020 - تطبيق آفاق بلس للهاتف المحمول</t>
        </is>
      </c>
    </row>
    <row r="32" spans="2:4" x14ac:dyDescent="0.25">
      <c r="B32"/>
      <c r="C32" t="inlineStr">
        <is>
          <t xml:space="preserve">برمجيات</t>
        </is>
      </c>
      <c r="D32" t="inlineStr">
        <is>
          <t xml:space="preserve">A-021 - منصة آفاق نت للخدمات المصرفية عبر الإنترنت</t>
        </is>
      </c>
    </row>
    <row r="33" spans="2:4" x14ac:dyDescent="0.25">
      <c r="B33"/>
      <c r="C33" t="inlineStr">
        <is>
          <t xml:space="preserve">برمجيات</t>
        </is>
      </c>
      <c r="D33" t="inlineStr">
        <is>
          <t xml:space="preserve">A-022 - نظام المعاملات المصرفية الأساسي (Core Banking)</t>
        </is>
      </c>
    </row>
    <row r="34" spans="2:4" x14ac:dyDescent="0.25">
      <c r="B34"/>
      <c r="C34" t="inlineStr">
        <is>
          <t xml:space="preserve">برمجيات</t>
        </is>
      </c>
      <c r="D34" t="inlineStr">
        <is>
          <t xml:space="preserve">A-023 - نظام إدارة البطاقات (Card Management)</t>
        </is>
      </c>
    </row>
    <row r="35" spans="2:4" x14ac:dyDescent="0.25">
      <c r="B35"/>
      <c r="C35" t="inlineStr">
        <is>
          <t xml:space="preserve">برمجيات</t>
        </is>
      </c>
      <c r="D35" t="inlineStr">
        <is>
          <t xml:space="preserve">A-024 - نظام الدفعات الفورية (Instant Payments)</t>
        </is>
      </c>
    </row>
    <row r="36" spans="2:4" x14ac:dyDescent="0.25">
      <c r="B36" t="inlineStr">
        <is>
          <t xml:space="preserve">أنظمة دعم الأعمال</t>
        </is>
      </c>
      <c r="C36" t="inlineStr">
        <is>
          <t xml:space="preserve">برمجيات</t>
        </is>
      </c>
      <c r="D36" t="inlineStr">
        <is>
          <t xml:space="preserve">A-004 - نظام الرواتب القديم (سيبيرولا - Legacy)</t>
        </is>
      </c>
    </row>
    <row r="37" spans="2:4" x14ac:dyDescent="0.25">
      <c r="B37"/>
      <c r="C37" t="inlineStr">
        <is>
          <t xml:space="preserve">برمجيات</t>
        </is>
      </c>
      <c r="D37" t="inlineStr">
        <is>
          <t xml:space="preserve">A-026 - نظام تخطيط موارد المؤسسات (SAP ERP)</t>
        </is>
      </c>
    </row>
    <row r="38" spans="2:4" x14ac:dyDescent="0.25">
      <c r="B38"/>
      <c r="C38" t="inlineStr">
        <is>
          <t xml:space="preserve">برمجيات</t>
        </is>
      </c>
      <c r="D38" t="inlineStr">
        <is>
          <t xml:space="preserve">A-027 - نظام إدارة علاقات العملاء (Microsoft Dynamics CRM)</t>
        </is>
      </c>
    </row>
    <row r="39" spans="2:4" x14ac:dyDescent="0.25">
      <c r="B39"/>
      <c r="C39" t="inlineStr">
        <is>
          <t xml:space="preserve">خدمات</t>
        </is>
      </c>
      <c r="D39" t="inlineStr">
        <is>
          <t xml:space="preserve">A-028 - بيئة Microsoft Office 365 (البريد وTeams وSharePoint)</t>
        </is>
      </c>
    </row>
    <row r="40" spans="2:4" x14ac:dyDescent="0.25">
      <c r="B40" t="inlineStr">
        <is>
          <t xml:space="preserve">أنظمة أمن المعلومات</t>
        </is>
      </c>
      <c r="C40" t="inlineStr">
        <is>
          <t xml:space="preserve">برمجيات</t>
        </is>
      </c>
      <c r="D40" t="inlineStr">
        <is>
          <t xml:space="preserve">A-025 - نظام كشف الاحتيال (Fraud Detection)</t>
        </is>
      </c>
    </row>
    <row r="41" spans="2:4" x14ac:dyDescent="0.25">
      <c r="B41"/>
      <c r="C41" t="inlineStr">
        <is>
          <t xml:space="preserve">برمجيات</t>
        </is>
      </c>
      <c r="D41" t="inlineStr">
        <is>
          <t xml:space="preserve">A-029 - نظام الدليل النشط (Microsoft Active Directory)</t>
        </is>
      </c>
    </row>
    <row r="42" spans="2:4" x14ac:dyDescent="0.25">
      <c r="B42"/>
      <c r="C42" t="inlineStr">
        <is>
          <t xml:space="preserve">برمجيات</t>
        </is>
      </c>
      <c r="D42" t="inlineStr">
        <is>
          <t xml:space="preserve">A-030 - نظام المصادقة متعددة العوامل (RSA SecurID)</t>
        </is>
      </c>
    </row>
    <row r="43" spans="2:4" x14ac:dyDescent="0.25">
      <c r="B43"/>
      <c r="C43" t="inlineStr">
        <is>
          <t xml:space="preserve">أجهزة</t>
        </is>
      </c>
      <c r="D43" t="inlineStr">
        <is>
          <t xml:space="preserve">A-031 - جدار الحماية الرئيسي (Palo Alto Networks - زوج عالي التوفر)</t>
        </is>
      </c>
    </row>
    <row r="44" spans="2:4" x14ac:dyDescent="0.25">
      <c r="B44"/>
      <c r="C44" t="inlineStr">
        <is>
          <t xml:space="preserve">أجهزة</t>
        </is>
      </c>
      <c r="D44" t="inlineStr">
        <is>
          <t xml:space="preserve">A-032 - جدار حماية تطبيقات الويب (Fortinet FortiWeb)</t>
        </is>
      </c>
    </row>
    <row r="45" spans="2:4" x14ac:dyDescent="0.25">
      <c r="B45"/>
      <c r="C45" t="inlineStr">
        <is>
          <t xml:space="preserve">أجهزة</t>
        </is>
      </c>
      <c r="D45" t="inlineStr">
        <is>
          <t xml:space="preserve">A-033 - أنظمة كشف ومنع التسلل (IDS/IPS)</t>
        </is>
      </c>
    </row>
    <row r="46" spans="2:4" x14ac:dyDescent="0.25">
      <c r="B46"/>
      <c r="C46" t="inlineStr">
        <is>
          <t xml:space="preserve">برمجيات</t>
        </is>
      </c>
      <c r="D46" t="inlineStr">
        <is>
          <t xml:space="preserve">A-034 - حل مكافحة البرمجيات الخبيثة (Trend Micro)</t>
        </is>
      </c>
    </row>
    <row r="47" spans="2:4" x14ac:dyDescent="0.25">
      <c r="B47"/>
      <c r="C47" t="inlineStr">
        <is>
          <t xml:space="preserve">أجهزة</t>
        </is>
      </c>
      <c r="D47" t="inlineStr">
        <is>
          <t xml:space="preserve">A-035 - بوابة البريد الإلكتروني الآمن (Cisco Email Security)</t>
        </is>
      </c>
    </row>
    <row r="48" spans="2:4" x14ac:dyDescent="0.25">
      <c r="B48"/>
      <c r="C48" t="inlineStr">
        <is>
          <t xml:space="preserve">خدمات</t>
        </is>
      </c>
      <c r="D48" t="inlineStr">
        <is>
          <t xml:space="preserve">A-036 - منصة إدارة الثغرات (Qualys)</t>
        </is>
      </c>
    </row>
    <row r="49" spans="2:4" x14ac:dyDescent="0.25">
      <c r="B49" t="inlineStr">
        <is>
          <t xml:space="preserve">البنية التحتية والأجهزة</t>
        </is>
      </c>
      <c r="C49" t="inlineStr">
        <is>
          <t xml:space="preserve">أجهزة</t>
        </is>
      </c>
      <c r="D49" t="inlineStr">
        <is>
          <t xml:space="preserve">A-037 - الخوادم الفعلية وبيئة VMware vSphere</t>
        </is>
      </c>
    </row>
    <row r="50" spans="2:4" x14ac:dyDescent="0.25">
      <c r="B50"/>
      <c r="C50" t="inlineStr">
        <is>
          <t xml:space="preserve">أجهزة</t>
        </is>
      </c>
      <c r="D50" t="inlineStr">
        <is>
          <t xml:space="preserve">A-038 - أنظمة التخزين المركزية (NetApp / Dell EMC)</t>
        </is>
      </c>
    </row>
    <row r="51" spans="2:4" x14ac:dyDescent="0.25">
      <c r="B51"/>
      <c r="C51" t="inlineStr">
        <is>
          <t xml:space="preserve">أجهزة</t>
        </is>
      </c>
      <c r="D51" t="inlineStr">
        <is>
          <t xml:space="preserve">A-039 - خادم النسخ الاحتياطي ومكتبة الأشرطة (Veritas NetBackup)</t>
        </is>
      </c>
    </row>
    <row r="52" spans="2:4" x14ac:dyDescent="0.25">
      <c r="B52"/>
      <c r="C52" t="inlineStr">
        <is>
          <t xml:space="preserve">أجهزة</t>
        </is>
      </c>
      <c r="D52" t="inlineStr">
        <is>
          <t xml:space="preserve">A-040 - أجهزة الشبكة والاتصالات</t>
        </is>
      </c>
    </row>
    <row r="53" spans="2:4" x14ac:dyDescent="0.25">
      <c r="B53"/>
      <c r="C53" t="inlineStr">
        <is>
          <t xml:space="preserve">أجهزة</t>
        </is>
      </c>
      <c r="D53" t="inlineStr">
        <is>
          <t xml:space="preserve">A-043 - أجهزة المستخدم النهائي</t>
        </is>
      </c>
    </row>
    <row r="54" spans="2:4" x14ac:dyDescent="0.25">
      <c r="B54"/>
      <c r="C54" t="inlineStr">
        <is>
          <t xml:space="preserve">أجهزة</t>
        </is>
      </c>
      <c r="D54" t="inlineStr">
        <is>
          <t xml:space="preserve">A-044 - أجهزة الخدمة الذاتية (الصراف الآلي والإيداع)</t>
        </is>
      </c>
    </row>
    <row r="55" spans="2:4" x14ac:dyDescent="0.25">
      <c r="B55" t="inlineStr">
        <is>
          <t xml:space="preserve">المرافق والأمن المادي</t>
        </is>
      </c>
      <c r="C55" t="inlineStr">
        <is>
          <t xml:space="preserve">أصول مادية</t>
        </is>
      </c>
      <c r="D55" t="inlineStr">
        <is>
          <t xml:space="preserve">A-045 - البنية التحتية للمرافق في مراكز البيانات</t>
        </is>
      </c>
    </row>
    <row r="56" spans="2:4" ht="15.75" thickBot="1" x14ac:dyDescent="0.3">
      <c r="B56" s="82"/>
      <c r="C56" s="82" t="inlineStr">
        <is>
          <t xml:space="preserve">أصول مادية</t>
        </is>
      </c>
      <c r="D56" s="82" t="inlineStr">
        <is>
          <t xml:space="preserve">A-046 - أنظمة الأمن المادي والتحكم في الدخول والمراقبة</t>
        </is>
      </c>
    </row>
    <row r="57" spans="2:4" ht="16.5" thickTop="1" x14ac:dyDescent="0.25">
      <c r="B57" s="8" t="inlineStr">
        <is>
          <t xml:space="preserve">الموردون والخدمات الخارجية</t>
        </is>
      </c>
      <c r="C57" t="inlineStr">
        <is>
          <t xml:space="preserve">خدمات</t>
        </is>
      </c>
      <c r="D57" t="inlineStr">
        <is>
          <t xml:space="preserve">A-041 - روابط الاتصال وخدمات الاتصالات</t>
        </is>
      </c>
    </row>
    <row r="58" spans="2:4" x14ac:dyDescent="0.25">
      <c r="B58"/>
      <c r="C58" t="inlineStr">
        <is>
          <t xml:space="preserve">خدمات</t>
        </is>
      </c>
      <c r="D58" t="inlineStr">
        <is>
          <t xml:space="preserve">A-042 - الخدمة السحابية (Amazon Web Services)</t>
        </is>
      </c>
    </row>
    <row r="59" spans="2:4" x14ac:dyDescent="0.25">
      <c r="B59"/>
      <c r="C59" t="inlineStr">
        <is>
          <t xml:space="preserve">خدمات</t>
        </is>
      </c>
      <c r="D59" t="inlineStr">
        <is>
          <t xml:space="preserve">A-047 - الموردون ومزودو الخدمات الخارجية</t>
        </is>
      </c>
    </row>
    <row r="60" spans="2:4" x14ac:dyDescent="0.25">
      <c r="B60" t="inlineStr">
        <is>
          <t xml:space="preserve">الأصول البشرية</t>
        </is>
      </c>
      <c r="C60" t="inlineStr">
        <is>
          <t xml:space="preserve">أفراد</t>
        </is>
      </c>
      <c r="D60" t="inlineStr">
        <is>
          <t xml:space="preserve">A-048 - الكوادر البشرية وفرق أمن المعلومات</t>
        </is>
      </c>
    </row>
    <row r="61" spans="2:4" x14ac:dyDescent="0.25">
      <c r="B61"/>
      <c r="C61"/>
      <c r="D61"/>
    </row>
    <row r="62" spans="2:4" x14ac:dyDescent="0.25">
      <c r="B62"/>
      <c r="C62"/>
      <c r="D62"/>
    </row>
    <row r="63" spans="2:4" x14ac:dyDescent="0.25">
      <c r="B63"/>
      <c r="C63"/>
      <c r="D63"/>
    </row>
    <row r="64" spans="2:4" x14ac:dyDescent="0.25">
      <c r="B64"/>
      <c r="C64"/>
      <c r="D64"/>
    </row>
    <row r="65" spans="2:4" x14ac:dyDescent="0.25">
      <c r="B65"/>
      <c r="C65"/>
      <c r="D65"/>
    </row>
    <row r="66" spans="2:4" x14ac:dyDescent="0.25">
      <c r="B66"/>
      <c r="C66"/>
      <c r="D66"/>
    </row>
    <row r="67" spans="2:4" ht="15.75" thickBot="1" x14ac:dyDescent="0.3">
      <c r="B67" s="82"/>
      <c r="C67" s="82"/>
      <c r="D67" s="82"/>
    </row>
    <row r="68" spans="2:4" ht="16.5" thickTop="1" x14ac:dyDescent="0.25">
      <c r="B68" s="8"/>
      <c r="C68"/>
      <c r="D68"/>
    </row>
    <row r="69" spans="2:4" x14ac:dyDescent="0.25">
      <c r="B69"/>
      <c r="C69"/>
      <c r="D69"/>
    </row>
    <row r="70" spans="2:4" x14ac:dyDescent="0.25">
      <c r="B70"/>
      <c r="C70"/>
      <c r="D70"/>
    </row>
    <row r="71" spans="2:4" x14ac:dyDescent="0.25">
      <c r="B71"/>
      <c r="C71"/>
      <c r="D71"/>
    </row>
    <row r="72" spans="2:4" x14ac:dyDescent="0.25">
      <c r="B72"/>
      <c r="C72"/>
      <c r="D72"/>
    </row>
    <row r="73" spans="2:4" ht="15.75" thickBot="1" x14ac:dyDescent="0.3">
      <c r="B73" s="82"/>
      <c r="C73" s="82"/>
      <c r="D73" s="82"/>
    </row>
    <row r="74" spans="2:4" ht="16.5" thickTop="1" x14ac:dyDescent="0.25">
      <c r="B74" s="8"/>
      <c r="C74"/>
      <c r="D74"/>
    </row>
    <row r="75" spans="2:4" x14ac:dyDescent="0.25">
      <c r="B75"/>
      <c r="C75"/>
      <c r="D75"/>
    </row>
    <row r="76" spans="2:4" x14ac:dyDescent="0.25">
      <c r="B76"/>
      <c r="C76"/>
      <c r="D76"/>
    </row>
    <row r="77" spans="2:4" ht="15.75" thickBot="1" x14ac:dyDescent="0.3">
      <c r="B77" s="82"/>
      <c r="C77" s="82"/>
      <c r="D77" s="82"/>
    </row>
    <row r="78" spans="2:4" ht="16.5" thickTop="1" x14ac:dyDescent="0.25">
      <c r="B78" s="8"/>
      <c r="C78"/>
      <c r="D78"/>
    </row>
    <row r="79" spans="2:4" x14ac:dyDescent="0.25">
      <c r="B79"/>
      <c r="C79"/>
      <c r="D79"/>
    </row>
    <row r="80" spans="2:4" x14ac:dyDescent="0.25">
      <c r="B80"/>
      <c r="C80"/>
      <c r="D80"/>
    </row>
    <row r="81" spans="2:4" x14ac:dyDescent="0.25">
      <c r="B81"/>
      <c r="C81"/>
      <c r="D81"/>
    </row>
    <row r="82" spans="2:4" x14ac:dyDescent="0.25">
      <c r="B82"/>
      <c r="C82"/>
      <c r="D82"/>
    </row>
    <row r="83" spans="2:4" x14ac:dyDescent="0.25">
      <c r="B83"/>
      <c r="C83"/>
      <c r="D83"/>
    </row>
    <row r="84" spans="2:4" x14ac:dyDescent="0.25">
      <c r="B84"/>
      <c r="C84"/>
      <c r="D84"/>
    </row>
    <row r="85" spans="2:4" x14ac:dyDescent="0.25">
      <c r="B85"/>
      <c r="C85"/>
      <c r="D85"/>
    </row>
    <row r="86" spans="2:4" x14ac:dyDescent="0.25">
      <c r="B86"/>
      <c r="C86"/>
      <c r="D86"/>
    </row>
    <row r="87" spans="2:4" ht="15.75" thickBot="1" x14ac:dyDescent="0.3">
      <c r="B87" s="82"/>
      <c r="C87" s="82"/>
      <c r="D87" s="82"/>
    </row>
    <row r="88" spans="2:4" ht="16.5" thickTop="1" x14ac:dyDescent="0.25">
      <c r="B88" s="8"/>
      <c r="C88"/>
      <c r="D88"/>
    </row>
    <row r="89" spans="2:4" x14ac:dyDescent="0.25">
      <c r="B89"/>
      <c r="C89"/>
      <c r="D89"/>
    </row>
    <row r="90" spans="2:4" x14ac:dyDescent="0.25">
      <c r="B90"/>
      <c r="C90"/>
      <c r="D90"/>
    </row>
    <row r="91" spans="2:4" x14ac:dyDescent="0.25">
      <c r="B91"/>
      <c r="C91"/>
      <c r="D91"/>
    </row>
    <row r="92" spans="2:4" ht="15.75" thickBot="1" x14ac:dyDescent="0.3">
      <c r="B92" s="82"/>
      <c r="C92" s="82"/>
      <c r="D92" s="82"/>
    </row>
    <row r="93" spans="2:4" ht="16.5" thickTop="1" x14ac:dyDescent="0.25">
      <c r="B93" s="8"/>
      <c r="C93"/>
      <c r="D93"/>
    </row>
    <row r="94" spans="2:4" x14ac:dyDescent="0.25">
      <c r="B94"/>
      <c r="C94"/>
      <c r="D94"/>
    </row>
    <row r="95" spans="2:4" x14ac:dyDescent="0.25">
      <c r="B95"/>
      <c r="C95"/>
      <c r="D95"/>
    </row>
    <row r="96" spans="2:4" x14ac:dyDescent="0.25">
      <c r="B96"/>
      <c r="C96"/>
      <c r="D96"/>
    </row>
    <row r="97" spans="2:4" ht="15.75" thickBot="1" x14ac:dyDescent="0.3">
      <c r="B97" s="82"/>
      <c r="C97" s="82"/>
      <c r="D97" s="82"/>
    </row>
    <row r="98" spans="2:4" ht="16.5" thickTop="1" x14ac:dyDescent="0.25">
      <c r="B98" s="8"/>
      <c r="C98"/>
      <c r="D98"/>
    </row>
    <row r="99" spans="2:4" ht="15.75" thickBot="1" x14ac:dyDescent="0.3">
      <c r="B99" s="83"/>
      <c r="C99" s="83"/>
      <c r="D99" s="83"/>
    </row>
    <row r="100" spans="2:4" ht="15.75" thickTop="1" x14ac:dyDescent="0.25">
      <c r="D100" s="80"/>
    </row>
    <row r="101" spans="2:4" x14ac:dyDescent="0.25">
      <c r="B101" s="79"/>
      <c r="D101" s="80"/>
    </row>
    <row r="102" spans="2:4" x14ac:dyDescent="0.25">
      <c r="B102" s="79"/>
      <c r="D102" s="80"/>
    </row>
    <row r="103" spans="2:4" x14ac:dyDescent="0.25">
      <c r="B103" s="79"/>
      <c r="D103" s="80"/>
    </row>
    <row r="104" spans="2:4" x14ac:dyDescent="0.25">
      <c r="B104" s="79"/>
      <c r="D104" s="80"/>
    </row>
    <row r="105" spans="2:4" x14ac:dyDescent="0.25">
      <c r="B105" s="79"/>
    </row>
    <row r="106" spans="2:4" x14ac:dyDescent="0.25">
      <c r="B106" s="79"/>
    </row>
    <row r="107" spans="2:4" x14ac:dyDescent="0.25">
      <c r="B107" s="79"/>
    </row>
    <row r="108" spans="2:4" x14ac:dyDescent="0.25">
      <c r="B108" s="79"/>
    </row>
    <row r="109" spans="2:4" x14ac:dyDescent="0.25">
      <c r="B109" s="79"/>
    </row>
    <row r="110" spans="2:4" x14ac:dyDescent="0.25">
      <c r="B110" s="79"/>
      <c r="D110" s="80"/>
    </row>
    <row r="111" spans="2:4" x14ac:dyDescent="0.25">
      <c r="B111" s="79"/>
      <c r="D111" s="80"/>
    </row>
    <row r="112" spans="2:4" x14ac:dyDescent="0.25">
      <c r="B112" s="79"/>
      <c r="D112" s="80"/>
    </row>
    <row r="113" spans="2:4" x14ac:dyDescent="0.25">
      <c r="B113" s="79"/>
      <c r="D113" s="80"/>
    </row>
    <row r="114" spans="2:4" x14ac:dyDescent="0.25">
      <c r="B114" s="79"/>
      <c r="D114" s="80"/>
    </row>
    <row r="115" spans="2:4" x14ac:dyDescent="0.25">
      <c r="B115" s="79"/>
      <c r="D115" s="80"/>
    </row>
    <row r="116" spans="2:4" x14ac:dyDescent="0.25">
      <c r="B116" s="79"/>
      <c r="D116" s="80"/>
    </row>
    <row r="117" spans="2:4" x14ac:dyDescent="0.25">
      <c r="B117" s="79"/>
      <c r="D117" s="80"/>
    </row>
    <row r="118" spans="2:4" x14ac:dyDescent="0.25">
      <c r="B118" s="79"/>
      <c r="D118" s="80"/>
    </row>
    <row r="119" spans="2:4" x14ac:dyDescent="0.25">
      <c r="B119" s="79"/>
      <c r="D119" s="80"/>
    </row>
    <row r="120" spans="2:4" x14ac:dyDescent="0.25">
      <c r="B120" s="79"/>
      <c r="D120" s="80"/>
    </row>
    <row r="121" spans="2:4" x14ac:dyDescent="0.25">
      <c r="B121" s="79"/>
      <c r="D121" s="80"/>
    </row>
    <row r="122" spans="2:4" x14ac:dyDescent="0.25">
      <c r="B122" s="79"/>
      <c r="D122" s="80"/>
    </row>
    <row r="123" spans="2:4" x14ac:dyDescent="0.25">
      <c r="B123" s="79"/>
      <c r="D123" s="80"/>
    </row>
    <row r="124" spans="2:4" x14ac:dyDescent="0.25">
      <c r="B124" s="79"/>
      <c r="D124" s="80"/>
    </row>
    <row r="125" spans="2:4" x14ac:dyDescent="0.25">
      <c r="B125" s="79"/>
      <c r="D125" s="80"/>
    </row>
    <row r="126" spans="2:4" x14ac:dyDescent="0.25">
      <c r="B126" s="79"/>
      <c r="D126" s="80"/>
    </row>
    <row r="127" spans="2:4" x14ac:dyDescent="0.25">
      <c r="B127" s="79"/>
      <c r="D127" s="80"/>
    </row>
    <row r="128" spans="2:4" x14ac:dyDescent="0.25">
      <c r="B128" s="79"/>
      <c r="D128" s="80"/>
    </row>
    <row r="129" spans="2:4" x14ac:dyDescent="0.25">
      <c r="B129" s="79"/>
      <c r="D129" s="80"/>
    </row>
    <row r="130" spans="2:4" x14ac:dyDescent="0.25">
      <c r="B130" s="79"/>
      <c r="D130" s="80"/>
    </row>
    <row r="131" spans="2:4" x14ac:dyDescent="0.25">
      <c r="B131" s="79"/>
      <c r="D131" s="80"/>
    </row>
    <row r="132" spans="2:4" x14ac:dyDescent="0.25">
      <c r="B132" s="79"/>
      <c r="D132" s="80"/>
    </row>
    <row r="133" spans="2:4" x14ac:dyDescent="0.25">
      <c r="B133" s="79"/>
      <c r="D133" s="80"/>
    </row>
    <row r="134" spans="2:4" x14ac:dyDescent="0.25">
      <c r="B134" s="79"/>
      <c r="D134" s="80"/>
    </row>
    <row r="135" spans="2:4" x14ac:dyDescent="0.25">
      <c r="B135" s="79"/>
      <c r="D135" s="80"/>
    </row>
    <row r="136" spans="2:4" x14ac:dyDescent="0.25">
      <c r="B136" s="79"/>
      <c r="D136" s="80"/>
    </row>
    <row r="137" spans="2:4" x14ac:dyDescent="0.25">
      <c r="B137" s="79"/>
      <c r="D137" s="80"/>
    </row>
    <row r="138" spans="2:4" x14ac:dyDescent="0.25">
      <c r="B138" s="79"/>
      <c r="D138" s="80"/>
    </row>
    <row r="139" spans="2:4" x14ac:dyDescent="0.25">
      <c r="B139" s="79"/>
      <c r="D139" s="80"/>
    </row>
    <row r="140" spans="2:4" x14ac:dyDescent="0.25">
      <c r="B140" s="79"/>
      <c r="D140" s="80"/>
    </row>
    <row r="141" spans="2:4" x14ac:dyDescent="0.25">
      <c r="B141" s="79"/>
      <c r="D141" s="80"/>
    </row>
    <row r="142" spans="2:4" x14ac:dyDescent="0.25">
      <c r="B142" s="79"/>
      <c r="D142" s="80"/>
    </row>
    <row r="143" spans="2:4" x14ac:dyDescent="0.25">
      <c r="B143" s="79"/>
      <c r="D143" s="80"/>
    </row>
    <row r="144" spans="2:4" x14ac:dyDescent="0.25">
      <c r="B144" s="79"/>
      <c r="D144" s="80"/>
    </row>
    <row r="145" spans="2:6" x14ac:dyDescent="0.25">
      <c r="B145" s="79"/>
      <c r="D145" s="80"/>
    </row>
    <row r="146" spans="2:6" x14ac:dyDescent="0.25">
      <c r="B146" s="79"/>
      <c r="D146" s="80"/>
    </row>
    <row r="147" spans="2:6" x14ac:dyDescent="0.25">
      <c r="B147" s="79"/>
      <c r="D147" s="80"/>
    </row>
    <row r="148" spans="2:6" x14ac:dyDescent="0.25">
      <c r="B148" s="79"/>
      <c r="D148" s="80"/>
    </row>
    <row r="149" spans="2:6" x14ac:dyDescent="0.25">
      <c r="B149" s="79"/>
      <c r="D149" s="80"/>
    </row>
    <row r="150" spans="2:6" x14ac:dyDescent="0.25">
      <c r="B150" s="79"/>
      <c r="D150" s="80"/>
    </row>
    <row r="151" spans="2:6" x14ac:dyDescent="0.25">
      <c r="B151" s="79"/>
      <c r="D151" s="80"/>
    </row>
    <row r="152" spans="2:6" x14ac:dyDescent="0.25">
      <c r="B152" s="79"/>
      <c r="D152" s="80"/>
    </row>
    <row r="153" spans="2:6" x14ac:dyDescent="0.25">
      <c r="B153" s="79"/>
      <c r="D153" s="80"/>
    </row>
    <row r="154" spans="2:6" x14ac:dyDescent="0.25">
      <c r="B154" s="79"/>
      <c r="D154" s="80"/>
    </row>
    <row r="155" spans="2:6" x14ac:dyDescent="0.25">
      <c r="B155" s="79"/>
      <c r="D155" s="80"/>
    </row>
    <row r="156" spans="2:6" x14ac:dyDescent="0.25">
      <c r="B156" s="79"/>
      <c r="C156" s="79"/>
      <c r="D156" s="79"/>
      <c r="E156" s="79"/>
      <c r="F156" s="79"/>
    </row>
    <row r="157" spans="2:6" x14ac:dyDescent="0.25">
      <c r="B157" s="79"/>
      <c r="C157" s="79"/>
      <c r="D157" s="79"/>
      <c r="E157" s="79"/>
      <c r="F157" s="79"/>
    </row>
    <row r="158" spans="2:6" x14ac:dyDescent="0.25">
      <c r="B158" s="79"/>
      <c r="C158" s="79"/>
      <c r="D158" s="79"/>
      <c r="E158" s="79"/>
      <c r="F158" s="79"/>
    </row>
    <row r="159" spans="2:6" x14ac:dyDescent="0.25">
      <c r="B159" s="79"/>
      <c r="C159" s="79"/>
      <c r="D159" s="79"/>
      <c r="E159" s="79"/>
      <c r="F159" s="79"/>
    </row>
    <row r="160" spans="2:6" x14ac:dyDescent="0.25">
      <c r="B160" s="79"/>
      <c r="C160" s="79"/>
      <c r="D160" s="79"/>
      <c r="E160" s="79"/>
      <c r="F160" s="79"/>
    </row>
    <row r="161" spans="2:6" x14ac:dyDescent="0.25">
      <c r="B161" s="79"/>
      <c r="C161" s="79"/>
      <c r="D161" s="79"/>
      <c r="E161" s="79"/>
      <c r="F161" s="79"/>
    </row>
    <row r="162" spans="2:6" x14ac:dyDescent="0.25">
      <c r="B162" s="79"/>
      <c r="C162" s="79"/>
      <c r="D162" s="79"/>
      <c r="E162" s="79"/>
      <c r="F162" s="79"/>
    </row>
    <row r="163" spans="2:6" x14ac:dyDescent="0.25">
      <c r="B163" s="79"/>
      <c r="C163" s="79"/>
      <c r="D163" s="79"/>
      <c r="E163" s="79"/>
      <c r="F163" s="79"/>
    </row>
    <row r="164" spans="2:6" x14ac:dyDescent="0.25">
      <c r="B164" s="79"/>
      <c r="C164" s="79"/>
      <c r="D164" s="79"/>
      <c r="E164" s="79"/>
      <c r="F164" s="79"/>
    </row>
    <row r="165" spans="2:6" x14ac:dyDescent="0.25">
      <c r="B165" s="79"/>
      <c r="C165" s="79"/>
      <c r="D165" s="79"/>
      <c r="E165" s="79"/>
      <c r="F165" s="79"/>
    </row>
    <row r="166" spans="2:6" x14ac:dyDescent="0.25">
      <c r="B166" s="79"/>
      <c r="C166" s="79"/>
      <c r="D166" s="79"/>
      <c r="E166" s="79"/>
      <c r="F166" s="79"/>
    </row>
    <row r="167" spans="2:6" x14ac:dyDescent="0.25">
      <c r="B167" s="79"/>
      <c r="C167" s="79"/>
      <c r="D167" s="79"/>
      <c r="E167" s="79"/>
      <c r="F167" s="79"/>
    </row>
    <row r="168" spans="2:6" x14ac:dyDescent="0.25">
      <c r="B168" s="79"/>
      <c r="C168" s="79"/>
      <c r="D168" s="79"/>
      <c r="E168" s="79"/>
      <c r="F168" s="79"/>
    </row>
    <row r="169" spans="2:6" x14ac:dyDescent="0.25">
      <c r="B169" s="79"/>
      <c r="C169" s="79"/>
      <c r="D169" s="79"/>
      <c r="E169" s="79"/>
      <c r="F169" s="79"/>
    </row>
  </sheetData>
  <sheetProtection selectLockedCells="1" selectUnlockedCells="1"/>
  <pageMargins left="0.70866141732283472" right="0.70866141732283472" top="0.74803149606299213" bottom="0.74803149606299213" header="0.31496062992125984" footer="0.31496062992125984"/>
  <pageSetup paperSize="9" scale="92" fitToHeight="0" orientation="portrait" horizontalDpi="1200" verticalDpi="1200" r:id="rId1"/>
  <headerFooter>
    <oddFooter>&amp;L&amp;D&amp;Cالصفحة &amp;P من &amp;N&amp;Rسري - استخدام داخلي</oddFooter>
  </headerFooter>
  <drawing r:id="rId2"/>
</worksheet>
</file>

<file path=xl/worksheets/sheet1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DDD40-BD69-4F41-9F9B-41C7F2F5B09C}">
  <sheetPr>
    <pageSetUpPr fitToPage="1"/>
  </sheetPr>
  <dimension ref="A2:D44"/>
  <sheetViews>
    <sheetView showGridLines="0" workbookViewId="0"/>
  </sheetViews>
  <sheetFormatPr defaultColWidth="9.140625" defaultRowHeight="15" x14ac:dyDescent="0.25"/>
  <cols>
    <col min="1" max="1" width="2.85546875" style="3" customWidth="1"/>
    <col min="2" max="2" width="19.7109375" style="3" customWidth="1"/>
    <col min="3" max="3" width="45.85546875" style="3" customWidth="1"/>
    <col min="4" max="4" width="56.140625" style="3" customWidth="1"/>
    <col min="5" max="16384" width="9.140625" style="3"/>
  </cols>
  <sheetData>
    <row r="2" spans="2:4" x14ac:dyDescent="0.25">
      <c r="B2" s="4"/>
      <c r="C2" s="4"/>
    </row>
    <row r="3" spans="2:4" x14ac:dyDescent="0.25">
      <c r="B3" s="4"/>
      <c r="C3" s="4"/>
    </row>
    <row r="4" spans="2:4" x14ac:dyDescent="0.25">
      <c r="B4" s="4"/>
      <c r="C4" s="4"/>
    </row>
    <row r="5" spans="2:4" x14ac:dyDescent="0.25">
      <c r="B5" s="4"/>
      <c r="C5" s="4"/>
    </row>
    <row r="6" spans="2:4" x14ac:dyDescent="0.25">
      <c r="B6" s="4"/>
      <c r="C6" s="4"/>
    </row>
    <row r="7" spans="2:4" x14ac:dyDescent="0.25">
      <c r="B7" s="4"/>
      <c r="C7" s="4"/>
    </row>
    <row r="8" spans="2:4" ht="21" x14ac:dyDescent="0.25">
      <c r="B8" s="10" t="inlineStr">
        <is>
          <t xml:space="preserve">قائمة التهديدات المرجعية</t>
        </is>
      </c>
      <c r="C8" s="10"/>
      <c r="D8" s="11"/>
    </row>
    <row r="9" spans="2:4" x14ac:dyDescent="0.25">
      <c r="B9" s="11" t="inlineStr">
        <is>
          <t xml:space="preserve">قائمة التهديدات الآتية مبنية على البيئة التشغيلية لبنك الآفاق الرقمية وعلى التهديدات الواردة في دراسة الحالة للقطاع المصرفي، وتُستخدم مرجعاً عند تحديد التهديد لكل أصل.</t>
        </is>
      </c>
      <c r="C9" s="11"/>
      <c r="D9" s="11"/>
    </row>
    <row r="10" spans="2:4" x14ac:dyDescent="0.25">
      <c r="B10" s="11"/>
      <c r="C10" s="11"/>
      <c r="D10" s="11"/>
    </row>
    <row r="11" spans="2:4" ht="21" customHeight="1" x14ac:dyDescent="0.25">
      <c r="B11" s="30" t="inlineStr">
        <is>
          <t xml:space="preserve"> فئة التهديد</t>
        </is>
      </c>
      <c r="C11" s="30" t="inlineStr">
        <is>
          <t xml:space="preserve">التهديد</t>
        </is>
      </c>
      <c r="D11" s="38" t="inlineStr">
        <is>
          <t xml:space="preserve">مثال من بيئة البنك</t>
        </is>
      </c>
    </row>
    <row r="12" spans="2:4" ht="30" x14ac:dyDescent="0.25">
      <c r="B12" s="31" t="inlineStr">
        <is>
          <t xml:space="preserve">بشري</t>
        </is>
      </c>
      <c r="C12" s="11" t="inlineStr">
        <is>
          <t xml:space="preserve">جهة خارجية خبيثة</t>
        </is>
      </c>
      <c r="D12" s="7" t="inlineStr">
        <is>
          <t xml:space="preserve">مجموعة جرائم إلكترونية منظمة تشن هجوم فدية على قواعد بيانات العملاء في مركز البيانات الرئيسي</t>
        </is>
      </c>
    </row>
    <row r="13" spans="2:4" ht="30" x14ac:dyDescent="0.25">
      <c r="B13" s="84"/>
      <c r="C13" s="11" t="inlineStr">
        <is>
          <t xml:space="preserve">جهة خارجية خبيثة</t>
        </is>
      </c>
      <c r="D13" s="7" t="inlineStr">
        <is>
          <t xml:space="preserve">هجوم حجب خدمة موزع (DDoS) يعطل تطبيق آفاق بلس ومنصة آفاق نت في فترة ذروة الرواتب</t>
        </is>
      </c>
    </row>
    <row r="14" spans="2:4" ht="30" x14ac:dyDescent="0.25">
      <c r="B14" s="84"/>
      <c r="C14" s="11" t="inlineStr">
        <is>
          <t xml:space="preserve">مطلعون (تهديد داخلي)</t>
        </is>
      </c>
      <c r="D14" s="7" t="inlineStr">
        <is>
          <t xml:space="preserve">موظف في تقنية المعلومات يستخدم صلاحياته الإدارية لنسخ بيانات العملاء أو تعديل أرصدة</t>
        </is>
      </c>
    </row>
    <row r="15" spans="2:4" x14ac:dyDescent="0.25">
      <c r="B15" s="84"/>
      <c r="C15" s="11" t="inlineStr">
        <is>
          <t xml:space="preserve">مطلعون (تهديد داخلي)</t>
        </is>
      </c>
      <c r="D15" s="7" t="inlineStr">
        <is>
          <t xml:space="preserve">موظف سابق يحتفظ ببيانات دخول أو نسخة من الكود المصدري بعد إنهاء خدماته</t>
        </is>
      </c>
    </row>
    <row r="16" spans="2:4" x14ac:dyDescent="0.25">
      <c r="B16" s="84"/>
      <c r="C16" s="11" t="inlineStr">
        <is>
          <t xml:space="preserve">انتحال الشخصية والاحتيال</t>
        </is>
      </c>
      <c r="D16" s="7" t="inlineStr">
        <is>
          <t xml:space="preserve">رسالة تصيد بانتحال شخصية المدير المالي تطلب تحويل 150,000 ريال إلى حساب خارجي (وقع فعلاً)</t>
        </is>
      </c>
    </row>
    <row r="17" spans="1:4" ht="15.75" thickBot="1" x14ac:dyDescent="0.3">
      <c r="B17" s="82"/>
      <c r="C17" s="82" t="inlineStr">
        <is>
          <t xml:space="preserve">انتحال الشخصية والاحتيال</t>
        </is>
      </c>
      <c r="D17" s="82" t="inlineStr">
        <is>
          <t xml:space="preserve">احتيال على العملاء عبر انتحال هوية موظف خدمة العملاء للحصول على بيانات الاعتماد أو رمز التحقق</t>
        </is>
      </c>
    </row>
    <row r="18" spans="1:4" ht="16.5" thickTop="1" x14ac:dyDescent="0.25">
      <c r="B18" s="31"/>
      <c r="C18" s="11" t="inlineStr">
        <is>
          <t xml:space="preserve">فقدان كوادر رئيسية</t>
        </is>
      </c>
      <c r="D18" s="7" t="inlineStr">
        <is>
          <t xml:space="preserve">استقالة مهندس قواعد البيانات الوحيد المختص بنظام Core Banking (دوران 12% في تقنية المعلومات)</t>
        </is>
      </c>
    </row>
    <row r="19" spans="1:4" ht="30" x14ac:dyDescent="0.25">
      <c r="B19" s="84"/>
      <c r="C19" s="11" t="inlineStr">
        <is>
          <t xml:space="preserve">خطأ بشري</t>
        </is>
      </c>
      <c r="D19" s="7" t="inlineStr">
        <is>
          <t xml:space="preserve">حذف قاعدة أساسية في جدار الحماية أثناء تغيير غير مُراجع أدى إلى انقطاع الخدمات 3 ساعات (وقع فعلاً)</t>
        </is>
      </c>
    </row>
    <row r="20" spans="1:4" x14ac:dyDescent="0.25">
      <c r="B20" s="84"/>
      <c r="C20" s="11" t="inlineStr">
        <is>
          <t xml:space="preserve">فقدان عرضي</t>
        </is>
      </c>
      <c r="D20" s="7" t="inlineStr">
        <is>
          <t xml:space="preserve">فقدان حاسوب محمول غير مشفر يحتوي بيانات عملاء أثناء رحلة عمل (وقع فعلاً)</t>
        </is>
      </c>
    </row>
    <row r="21" spans="1:4" ht="30" x14ac:dyDescent="0.25">
      <c r="B21" s="84" t="inlineStr">
        <is>
          <t xml:space="preserve">طبيعي</t>
        </is>
      </c>
      <c r="C21" s="11" t="inlineStr">
        <is>
          <t xml:space="preserve">حريق</t>
        </is>
      </c>
      <c r="D21" s="7" t="inlineStr">
        <is>
          <t xml:space="preserve">حريق في الطابق الثالث من المقر الرئيسي يتلف مركز البيانات الرئيسي</t>
        </is>
      </c>
    </row>
    <row r="22" spans="1:4" ht="30" x14ac:dyDescent="0.25">
      <c r="B22" s="84"/>
      <c r="C22" s="11" t="inlineStr">
        <is>
          <t xml:space="preserve">عواصف رملية وموجات حر</t>
        </is>
      </c>
      <c r="D22" s="7" t="inlineStr">
        <is>
          <t xml:space="preserve">موجة حر شديدة في الرياض ترفع حمل التكييف وتؤدي إلى إيقاف خوادم حمايةً للمعدات</t>
        </is>
      </c>
    </row>
    <row r="23" spans="1:4" ht="15.75" thickBot="1" x14ac:dyDescent="0.3">
      <c r="B23" s="82"/>
      <c r="C23" s="82" t="inlineStr">
        <is>
          <t xml:space="preserve">فيضانات أو تسرب مياه</t>
        </is>
      </c>
      <c r="D23" s="82" t="inlineStr">
        <is>
          <t xml:space="preserve">تسرب مياه إلى غرفة الخوادم في أحد الفروع يتلف أجهزة الشبكة والخادم الفرعي</t>
        </is>
      </c>
    </row>
    <row r="24" spans="1:4" ht="16.5" thickTop="1" x14ac:dyDescent="0.25">
      <c r="A24" s="85"/>
      <c r="B24" s="31"/>
      <c r="C24" s="11" t="inlineStr">
        <is>
          <t xml:space="preserve">زلزال أو هزات أرضية</t>
        </is>
      </c>
      <c r="D24" s="7" t="inlineStr">
        <is>
          <t xml:space="preserve">هزة أرضية تؤثر على منطقة الرياض وتستدعي نقل التشغيل إلى مركز التعافي في جدة</t>
        </is>
      </c>
    </row>
    <row r="25" spans="1:4" ht="30" x14ac:dyDescent="0.25">
      <c r="A25" s="85"/>
      <c r="B25" s="84" t="inlineStr">
        <is>
          <t xml:space="preserve">تقني</t>
        </is>
      </c>
      <c r="C25" s="11" t="inlineStr">
        <is>
          <t xml:space="preserve">عطل في العتاد</t>
        </is>
      </c>
      <c r="D25" s="7" t="inlineStr">
        <is>
          <t xml:space="preserve">فشل في وحدة تخزين NetApp يؤثر على قاعدة بيانات العملاء قبل اكتمال النسخ اليومي</t>
        </is>
      </c>
    </row>
    <row r="26" spans="1:4" ht="30" x14ac:dyDescent="0.25">
      <c r="A26" s="85"/>
      <c r="B26" s="84"/>
      <c r="C26" s="11" t="inlineStr">
        <is>
          <t xml:space="preserve">عطل في البرمجيات</t>
        </is>
      </c>
      <c r="D26" s="7" t="inlineStr">
        <is>
          <t xml:space="preserve">خلل في تحديث نظام Core Banking يؤدي إلى معالجة خاطئة للعمليات المالية</t>
        </is>
      </c>
    </row>
    <row r="27" spans="1:4" ht="15.75" thickBot="1" x14ac:dyDescent="0.3">
      <c r="B27" s="82"/>
      <c r="C27" s="82" t="inlineStr">
        <is>
          <t xml:space="preserve">برمجيات خبيثة وفدية</t>
        </is>
      </c>
      <c r="D27" s="82" t="inlineStr">
        <is>
          <t xml:space="preserve">برمجية فدية تنتشر عبر مرفق بريدي وتصيب خوادم التطبيقات وقواعد البيانات</t>
        </is>
      </c>
    </row>
    <row r="28" spans="1:4" ht="16.5" thickTop="1" x14ac:dyDescent="0.25">
      <c r="B28" s="31"/>
      <c r="C28" s="11" t="inlineStr">
        <is>
          <t xml:space="preserve">استغلال ثغرات</t>
        </is>
      </c>
      <c r="D28" s="7" t="inlineStr">
        <is>
          <t xml:space="preserve">استغلال ثغرة حقن SQL عالية الخطورة في تطبيق آفاق بلس لسرقة بيانات العملاء (3 ثغرات رُصدت)</t>
        </is>
      </c>
    </row>
    <row r="29" spans="1:4" ht="30" x14ac:dyDescent="0.25">
      <c r="B29" s="84"/>
      <c r="C29" s="11" t="inlineStr">
        <is>
          <t xml:space="preserve">انتهاء صلاحية الشهادات</t>
        </is>
      </c>
      <c r="D29" s="7" t="inlineStr">
        <is>
          <t xml:space="preserve">انتهاء صلاحية شهادة SSL/TLS لبوابة آفاق نت وظهور تحذيرات أمنية للعملاء (وقع فعلاً)</t>
        </is>
      </c>
    </row>
    <row r="30" spans="1:4" ht="30" x14ac:dyDescent="0.25">
      <c r="B30" s="84"/>
      <c r="C30" s="11" t="inlineStr">
        <is>
          <t xml:space="preserve">نقص السعة</t>
        </is>
      </c>
      <c r="D30" s="7" t="inlineStr">
        <is>
          <t xml:space="preserve">تجاوز سعة التخزين أو عرض النطاق أثناء ذروة نهاية الشهر بما يبطئ الخدمات الرقمية</t>
        </is>
      </c>
    </row>
    <row r="31" spans="1:4" ht="15.75" thickBot="1" x14ac:dyDescent="0.3">
      <c r="B31" s="82" t="inlineStr">
        <is>
          <t xml:space="preserve">مادي</t>
        </is>
      </c>
      <c r="C31" s="82" t="inlineStr">
        <is>
          <t xml:space="preserve">تخريب متعمد</t>
        </is>
      </c>
      <c r="D31" s="82" t="inlineStr">
        <is>
          <t xml:space="preserve">عبث متعمد بجهاز صراف آلي مستقل في مركز تجاري لتثبيت أداة نسخ بطاقات (Skimming)</t>
        </is>
      </c>
    </row>
    <row r="32" spans="1:4" ht="30.75" thickTop="1" x14ac:dyDescent="0.25">
      <c r="B32" s="31"/>
      <c r="C32" s="11" t="inlineStr">
        <is>
          <t xml:space="preserve">سرقة</t>
        </is>
      </c>
      <c r="D32" s="7" t="inlineStr">
        <is>
          <t xml:space="preserve">سرقة أجهزة حاسوب محمولة أو أقراص تخزين من مكاتب الإدارات الحساسة خارج ساعات العمل</t>
        </is>
      </c>
    </row>
    <row r="33" spans="2:4" x14ac:dyDescent="0.25">
      <c r="B33" s="84"/>
      <c r="C33" s="11" t="inlineStr">
        <is>
          <t xml:space="preserve">دخول غير مصرح</t>
        </is>
      </c>
      <c r="D33" s="7" t="inlineStr">
        <is>
          <t xml:space="preserve">دخول فني مورد إلى مركز البيانات دون مرافقة موظف من البنك (وقع فعلاً)</t>
        </is>
      </c>
    </row>
    <row r="34" spans="2:4" x14ac:dyDescent="0.25">
      <c r="B34" s="84" t="inlineStr">
        <is>
          <t xml:space="preserve">بيئي</t>
        </is>
      </c>
      <c r="C34" s="11" t="inlineStr">
        <is>
          <t xml:space="preserve">انقطاع الطاقة</t>
        </is>
      </c>
      <c r="D34" s="7" t="inlineStr">
        <is>
          <t xml:space="preserve">انقطاع التيار الكهربائي عن منطقة حي المال والأعمال مع فشل المولد الاحتياطي في أحد الفروع</t>
        </is>
      </c>
    </row>
    <row r="35" spans="2:4" ht="15.75" thickBot="1" x14ac:dyDescent="0.3">
      <c r="B35" s="82"/>
      <c r="C35" s="82" t="inlineStr">
        <is>
          <t xml:space="preserve">فشل التكييف</t>
        </is>
      </c>
      <c r="D35" s="82" t="inlineStr">
        <is>
          <t xml:space="preserve">عطل في وحدات التكييف الدقيقة يرفع حرارة مركز البيانات ويستدعي إيقافاً منظماً للخوادم</t>
        </is>
      </c>
    </row>
    <row r="36" spans="2:4" ht="45.75" thickTop="1" x14ac:dyDescent="0.25">
      <c r="B36" s="31" t="inlineStr">
        <is>
          <t xml:space="preserve">تشغيلي</t>
        </is>
      </c>
      <c r="C36" s="11" t="inlineStr">
        <is>
          <t xml:space="preserve">خطأ في الإجراءات</t>
        </is>
      </c>
      <c r="D36" s="7" t="inlineStr">
        <is>
          <t xml:space="preserve">إجراء نسخ احتياطي يفشل ليلاً دون تنبيه فيكتشف الفريق الخلل بعد ساعات (وقع فعلاً)</t>
        </is>
      </c>
    </row>
    <row r="37" spans="2:4" ht="30" x14ac:dyDescent="0.25">
      <c r="B37" s="84"/>
      <c r="C37" s="11" t="inlineStr">
        <is>
          <t xml:space="preserve">فشل مورد خدمة حرج</t>
        </is>
      </c>
      <c r="D37" s="7" t="inlineStr">
        <is>
          <t xml:space="preserve">انقطاع خدمة الإنترنت من المزود الرئيسي أو تعطل منصة مورّد صيانة أجهزة الصراف الآلي</t>
        </is>
      </c>
    </row>
    <row r="38" spans="2:4" ht="15.75" thickBot="1" x14ac:dyDescent="0.3">
      <c r="B38" s="86"/>
      <c r="C38" s="86" t="inlineStr">
        <is>
          <t xml:space="preserve">هجوم عبر سلسلة التوريد</t>
        </is>
      </c>
      <c r="D38" s="87" t="inlineStr">
        <is>
          <t xml:space="preserve">تحديث ملوّث من مورد تقني موثوق يُدخل برمجية خبيثة إلى بيئة البنك</t>
        </is>
      </c>
    </row>
    <row r="39" spans="2:4" ht="15.75" thickTop="1" x14ac:dyDescent="0.25">
      <c r="B39" s="6"/>
      <c r="C39" s="6" t="inlineStr">
        <is>
          <t xml:space="preserve">عدم امتثال تنظيمي</t>
        </is>
      </c>
      <c r="D39" s="2" t="inlineStr">
        <is>
          <t xml:space="preserve">تأخر الإبلاغ عن حادث أمني جسيم للبنك المركزي السعودي خارج المدة النظامية</t>
        </is>
      </c>
    </row>
    <row r="40" spans="2:4" x14ac:dyDescent="0.25">
      <c r="B40" s="6"/>
      <c r="C40" s="6" t="inlineStr">
        <is>
          <t xml:space="preserve">إساءة استخدام الصلاحيات</t>
        </is>
      </c>
      <c r="D40" s="2" t="inlineStr">
        <is>
          <t xml:space="preserve">صلاحيات موروثة من مشروع منتهٍ تتيح لموظفي تقنية المعلومات الاطلاع على ملفات الرواتب (وقع فعلاً)</t>
        </is>
      </c>
    </row>
    <row r="41" spans="2:4" x14ac:dyDescent="0.25">
      <c r="B41" s="6"/>
      <c r="C41" s="6"/>
      <c r="D41" s="2"/>
    </row>
    <row r="42" spans="2:4" x14ac:dyDescent="0.25">
      <c r="B42" s="6"/>
      <c r="C42" s="6"/>
      <c r="D42" s="2"/>
    </row>
    <row r="43" spans="2:4" x14ac:dyDescent="0.25">
      <c r="B43" s="6"/>
      <c r="C43" s="6"/>
      <c r="D43" s="2"/>
    </row>
    <row r="44" spans="2:4" x14ac:dyDescent="0.25">
      <c r="B44" s="6"/>
      <c r="C44" s="6"/>
      <c r="D44" s="2"/>
    </row>
  </sheetData>
  <sheetProtection selectLockedCells="1" selectUnlockedCells="1"/>
  <pageMargins left="0.70866141732283472" right="0.70866141732283472" top="0.74803149606299213" bottom="0.74803149606299213" header="0.31496062992125984" footer="0.31496062992125984"/>
  <pageSetup paperSize="9" scale="70" fitToHeight="0" orientation="portrait" horizontalDpi="1200" verticalDpi="1200" r:id="rId1"/>
  <headerFooter>
    <oddFooter>&amp;L&amp;D&amp;Cالصفحة &amp;P من &amp;N&amp;Rسري - استخدام داخلي</oddFooter>
  </headerFooter>
  <drawing r:id="rId2"/>
</worksheet>
</file>

<file path=xl/worksheets/sheet1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DFA5-324E-4D0E-967A-0820BDFD99B4}">
  <sheetPr codeName="Sheet8"/>
  <dimension ref="B2:D27"/>
  <sheetViews>
    <sheetView showGridLines="0" zoomScaleNormal="100" workbookViewId="0"/>
  </sheetViews>
  <sheetFormatPr defaultColWidth="9.140625" defaultRowHeight="15" x14ac:dyDescent="0.25"/>
  <cols>
    <col min="1" max="1" width="2.85546875" style="3" customWidth="1"/>
    <col min="2" max="2" width="11.7109375" style="3" customWidth="1"/>
    <col min="3" max="3" width="16.28515625" style="3" customWidth="1"/>
    <col min="4" max="4" width="58.28515625" style="3" customWidth="1"/>
    <col min="5" max="16384" width="9.140625" style="3"/>
  </cols>
  <sheetData>
    <row r="2" spans="2:4" x14ac:dyDescent="0.25">
      <c r="B2" s="4"/>
      <c r="C2" s="4"/>
    </row>
    <row r="3" spans="2:4" x14ac:dyDescent="0.25">
      <c r="B3" s="4"/>
      <c r="C3" s="4"/>
    </row>
    <row r="4" spans="2:4" x14ac:dyDescent="0.25">
      <c r="B4" s="4"/>
      <c r="C4" s="4"/>
    </row>
    <row r="5" spans="2:4" x14ac:dyDescent="0.25">
      <c r="B5" s="4"/>
      <c r="C5" s="4"/>
    </row>
    <row r="6" spans="2:4" x14ac:dyDescent="0.25">
      <c r="B6" s="4"/>
      <c r="C6" s="4"/>
    </row>
    <row r="7" spans="2:4" x14ac:dyDescent="0.25">
      <c r="B7" s="4"/>
      <c r="C7" s="4"/>
    </row>
    <row r="8" spans="2:4" ht="21" x14ac:dyDescent="0.25">
      <c r="B8" s="10" t="inlineStr">
        <is>
          <t xml:space="preserve">مقياس الاحتمالية (Likelihood)</t>
        </is>
      </c>
      <c r="C8" s="10"/>
      <c r="D8" s="11"/>
    </row>
    <row r="9" spans="2:4" x14ac:dyDescent="0.25">
      <c r="B9" s="11" t="inlineStr">
        <is>
          <t xml:space="preserve">يُستخدم هذا الجدول لتحديد درجة الاحتمالية الأنسب لكل تهديد، وتُستخدم الدرجات نفسها في جميع وثائق النظام.</t>
        </is>
      </c>
      <c r="C9" s="11"/>
      <c r="D9" s="11"/>
    </row>
    <row r="10" spans="2:4" x14ac:dyDescent="0.25">
      <c r="B10" s="11"/>
      <c r="C10" s="11"/>
      <c r="D10" s="11"/>
    </row>
    <row r="11" spans="2:4" ht="21" customHeight="1" x14ac:dyDescent="0.25">
      <c r="B11" s="30" t="inlineStr">
        <is>
          <t xml:space="preserve">الاحتمالية</t>
        </is>
      </c>
      <c r="C11" s="30" t="inlineStr">
        <is>
          <t xml:space="preserve">الوصف</t>
        </is>
      </c>
      <c r="D11" s="38" t="inlineStr">
        <is>
          <t xml:space="preserve">الملخص</t>
        </is>
      </c>
    </row>
    <row r="12" spans="2:4" ht="30" x14ac:dyDescent="0.25">
      <c r="B12" s="12">
        <v>1</v>
      </c>
      <c r="C12" s="7" t="inlineStr">
        <is>
          <t xml:space="preserve">نادر جداً</t>
        </is>
      </c>
      <c r="D12" s="7" t="inlineStr">
        <is>
          <t xml:space="preserve">لم يحدث من قبل ولا توجد مؤشرات ترجّح حدوثه؛ الضوابط الوقائية فعّالة ومُختبرة.</t>
        </is>
      </c>
    </row>
    <row r="13" spans="2:4" x14ac:dyDescent="0.25">
      <c r="B13" s="12">
        <v>2</v>
      </c>
      <c r="C13" s="7" t="inlineStr">
        <is>
          <t xml:space="preserve">نادر</t>
        </is>
      </c>
      <c r="D13" s="7" t="inlineStr">
        <is>
          <t xml:space="preserve">قد يحدث في ظروف استثنائية؛ حدث مرة واحدة في القطاع خلال السنوات الخمس الماضية.</t>
        </is>
      </c>
    </row>
    <row r="14" spans="2:4" ht="30" x14ac:dyDescent="0.25">
      <c r="B14" s="12">
        <v>3</v>
      </c>
      <c r="C14" s="7" t="inlineStr">
        <is>
          <t xml:space="preserve">محتمل</t>
        </is>
      </c>
      <c r="D14" s="7" t="inlineStr">
        <is>
          <t xml:space="preserve">حدوثه وارد خلال السنة؛ توجد سوابق مماثلة في البنك أو في القطاع المصرفي المحلي.</t>
        </is>
      </c>
    </row>
    <row r="15" spans="2:4" ht="30" x14ac:dyDescent="0.25">
      <c r="B15" s="12">
        <v>4</v>
      </c>
      <c r="C15" s="7" t="inlineStr">
        <is>
          <t xml:space="preserve">مرجح</t>
        </is>
      </c>
      <c r="D15" s="7" t="inlineStr">
        <is>
          <t xml:space="preserve">من المرجح حدوثه أكثر من مرة خلال السنة؛ توجد مؤشرات أو سوابق متكررة أو ضعف في الضوابط.</t>
        </is>
      </c>
    </row>
    <row r="16" spans="2:4" ht="30" x14ac:dyDescent="0.25">
      <c r="B16" s="12">
        <v>5</v>
      </c>
      <c r="C16" s="7" t="inlineStr">
        <is>
          <t xml:space="preserve">شبه مؤكد</t>
        </is>
      </c>
      <c r="D16" s="7" t="inlineStr">
        <is>
          <t xml:space="preserve">يحدث بشكل متكرر أو توجد أدلة قوية على قرب وقوعه (كثافة الهجمات على القطاع المصرفي).</t>
        </is>
      </c>
    </row>
    <row r="17" spans="2:4" ht="15.75" thickBot="1" x14ac:dyDescent="0.3">
      <c r="B17" s="39"/>
      <c r="C17" s="39"/>
      <c r="D17" s="39"/>
    </row>
    <row r="18" spans="2:4" ht="15.75" thickTop="1" x14ac:dyDescent="0.25">
      <c r="B18"/>
      <c r="C18"/>
      <c r="D18"/>
    </row>
    <row r="19">
      <c r="B19"/>
      <c r="C19"/>
      <c r="D19"/>
    </row>
    <row r="20">
      <c r="B20"/>
      <c r="C20"/>
      <c r="D20"/>
    </row>
    <row r="21">
      <c r="B21"/>
      <c r="C21"/>
      <c r="D21"/>
    </row>
    <row r="22">
      <c r="B22"/>
      <c r="C22"/>
      <c r="D22"/>
    </row>
    <row r="23">
      <c r="B23"/>
      <c r="C23"/>
      <c r="D23"/>
    </row>
    <row r="24" spans="2:4" x14ac:dyDescent="0.25">
      <c r="B24" s="6"/>
      <c r="C24" s="6"/>
      <c r="D24" s="2"/>
    </row>
    <row r="25" spans="2:4" x14ac:dyDescent="0.25">
      <c r="B25" s="6"/>
      <c r="C25" s="6"/>
      <c r="D25" s="2"/>
    </row>
    <row r="26" spans="2:4" x14ac:dyDescent="0.25">
      <c r="B26" s="6"/>
      <c r="C26" s="6"/>
      <c r="D26" s="2"/>
    </row>
    <row r="27" spans="2:4" x14ac:dyDescent="0.25">
      <c r="B27" s="6"/>
      <c r="C27" s="6"/>
      <c r="D27" s="2"/>
    </row>
  </sheetData>
  <sheetProtection selectLockedCells="1" selectUnlockedCells="1"/>
  <pageMargins left="0.70866141732283472" right="0.70866141732283472" top="0.74803149606299213" bottom="0.74803149606299213" header="0.31496062992125984" footer="0.31496062992125984"/>
  <pageSetup paperSize="9" orientation="landscape" horizontalDpi="1200" verticalDpi="1200" r:id="rId1"/>
  <headerFooter>
    <oddFooter>&amp;L&amp;D&amp;Cالصفحة &amp;P من &amp;N&amp;Rسري - استخدام داخلي</oddFooter>
  </headerFooter>
  <drawing r:id="rId2"/>
</worksheet>
</file>

<file path=xl/worksheets/sheet1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F27AD-48E4-435A-927D-723E9F61ED04}">
  <sheetPr codeName="Sheet9">
    <pageSetUpPr fitToPage="1"/>
  </sheetPr>
  <dimension ref="B2:O28"/>
  <sheetViews>
    <sheetView showGridLines="0" workbookViewId="0"/>
  </sheetViews>
  <sheetFormatPr defaultColWidth="9.140625" defaultRowHeight="15" x14ac:dyDescent="0.25"/>
  <cols>
    <col min="1" max="1" width="2.85546875" style="3" customWidth="1"/>
    <col min="2" max="2" width="7.42578125" style="3" customWidth="1"/>
    <col min="3" max="3" width="11.28515625" style="3" customWidth="1"/>
    <col min="4" max="7" width="21.42578125" style="3" customWidth="1"/>
    <col min="8" max="8" width="25.42578125" style="3" customWidth="1"/>
    <col min="9" max="16384" width="9.140625" style="3"/>
  </cols>
  <sheetData>
    <row r="2" spans="2:15" x14ac:dyDescent="0.25">
      <c r="B2" s="4"/>
      <c r="C2" s="4"/>
    </row>
    <row r="3" spans="2:15" x14ac:dyDescent="0.25">
      <c r="B3" s="4"/>
      <c r="C3" s="4"/>
    </row>
    <row r="4" spans="2:15" x14ac:dyDescent="0.25">
      <c r="B4" s="4"/>
      <c r="C4" s="4"/>
    </row>
    <row r="5" spans="2:15" x14ac:dyDescent="0.25">
      <c r="B5" s="4"/>
      <c r="C5" s="4"/>
    </row>
    <row r="6" spans="2:15" x14ac:dyDescent="0.25">
      <c r="B6" s="4"/>
      <c r="C6" s="4"/>
    </row>
    <row r="7" spans="2:15" x14ac:dyDescent="0.25">
      <c r="B7" s="4"/>
      <c r="C7" s="4"/>
    </row>
    <row r="8" spans="2:15" ht="21" x14ac:dyDescent="0.25">
      <c r="B8" s="10" t="inlineStr">
        <is>
          <t xml:space="preserve">مقياس التأثير (Impact)</t>
        </is>
      </c>
      <c r="C8" s="10"/>
      <c r="D8" s="11"/>
      <c r="E8" s="11"/>
      <c r="F8" s="11"/>
      <c r="G8" s="11"/>
      <c r="H8" s="11"/>
    </row>
    <row r="9" spans="2:15" x14ac:dyDescent="0.25">
      <c r="B9" s="11" t="inlineStr">
        <is>
          <t xml:space="preserve">يُستخدم هذا الجدول دليلاً لتحديد درجة التأثير الأنسب لكل تهديد، وقد رُوعيت فيه طبيعة القطاع المصرفي ومتطلبات ساما.</t>
        </is>
      </c>
      <c r="C9" s="11"/>
      <c r="D9" s="11"/>
      <c r="E9" s="11"/>
      <c r="F9" s="11"/>
      <c r="G9" s="11"/>
      <c r="H9" s="11"/>
    </row>
    <row r="10" spans="2:15" x14ac:dyDescent="0.25">
      <c r="B10" s="11"/>
      <c r="C10" s="11"/>
      <c r="D10" s="11"/>
      <c r="E10" s="11"/>
      <c r="F10" s="11"/>
      <c r="G10" s="11"/>
      <c r="H10" s="11"/>
    </row>
    <row r="11" spans="2:15" ht="21" customHeight="1" x14ac:dyDescent="0.25">
      <c r="B11" s="40" t="inlineStr">
        <is>
          <t xml:space="preserve"> درجة التأثير</t>
        </is>
      </c>
      <c r="C11" s="41"/>
      <c r="D11" s="40" t="inlineStr">
        <is>
          <t xml:space="preserve"> مجالات التأثير</t>
        </is>
      </c>
      <c r="E11" s="40"/>
      <c r="F11" s="40"/>
      <c r="G11" s="40"/>
      <c r="H11" s="40"/>
    </row>
    <row r="12" spans="2:15" ht="33" customHeight="1" x14ac:dyDescent="0.25">
      <c r="B12" s="115" t="inlineStr">
        <is>
          <t xml:space="preserve">درجة التأثير</t>
        </is>
      </c>
      <c r="C12" s="115" t="inlineStr">
        <is>
          <t xml:space="preserve">الوصف العام</t>
        </is>
      </c>
      <c r="D12" s="115" t="inlineStr">
        <is>
          <t xml:space="preserve">الأثر على العملاء</t>
        </is>
      </c>
      <c r="E12" s="115" t="inlineStr">
        <is>
          <t xml:space="preserve">التكلفة المالية</t>
        </is>
      </c>
      <c r="F12" s="115" t="inlineStr">
        <is>
          <t xml:space="preserve">الصحة والسلامة</t>
        </is>
      </c>
      <c r="G12" s="115" t="inlineStr">
        <is>
          <t xml:space="preserve">الضرر بالسمعة</t>
        </is>
      </c>
      <c r="H12" s="115" t="inlineStr">
        <is>
          <t xml:space="preserve">الامتثال القانوني والتعاقدي والتنظيمي</t>
        </is>
      </c>
    </row>
    <row r="13" spans="2:15" ht="30" x14ac:dyDescent="0.25">
      <c r="B13" s="13">
        <v>1</v>
      </c>
      <c r="C13" s="7" t="inlineStr">
        <is>
          <t xml:space="preserve">محدود جداً</t>
        </is>
      </c>
      <c r="D13" s="7" t="inlineStr">
        <is>
          <t xml:space="preserve">لا أثر يُذكر على العملاء</t>
        </is>
      </c>
      <c r="E13" s="2" t="inlineStr">
        <is>
          <t xml:space="preserve">خسائر أقل من 100 ألف ريال</t>
        </is>
      </c>
      <c r="F13" s="2" t="inlineStr">
        <is>
          <t xml:space="preserve">لا أثر على السلامة</t>
        </is>
      </c>
      <c r="G13" s="7" t="inlineStr">
        <is>
          <t xml:space="preserve">أثر سمعة مهمَل</t>
        </is>
      </c>
      <c r="H13" s="2" t="inlineStr">
        <is>
          <t xml:space="preserve">لا التزامات نظامية</t>
        </is>
      </c>
      <c r="I13" s="2"/>
      <c r="J13" s="2"/>
      <c r="K13" s="2"/>
      <c r="L13" s="2"/>
      <c r="M13" s="2"/>
      <c r="N13" s="2"/>
      <c r="O13" s="2"/>
    </row>
    <row r="14" spans="2:15" ht="45" x14ac:dyDescent="0.25">
      <c r="B14" s="13">
        <v>2</v>
      </c>
      <c r="C14" s="7" t="inlineStr">
        <is>
          <t xml:space="preserve">منخفض</t>
        </is>
      </c>
      <c r="D14" s="7" t="inlineStr">
        <is>
          <t xml:space="preserve">اضطراب محدود ومؤقت في خدمة واحدة</t>
        </is>
      </c>
      <c r="E14" s="2" t="inlineStr">
        <is>
          <t xml:space="preserve">100 ألف - 1 مليون ريال</t>
        </is>
      </c>
      <c r="F14" s="2" t="inlineStr">
        <is>
          <t xml:space="preserve">مخاطر طفيفة ضمن الحدود المقبولة</t>
        </is>
      </c>
      <c r="G14" s="7" t="inlineStr">
        <is>
          <t xml:space="preserve">تداول محدود داخلياً</t>
        </is>
      </c>
      <c r="H14" s="2" t="inlineStr">
        <is>
          <t xml:space="preserve">ملاحظات رقابية بسيطة</t>
        </is>
      </c>
      <c r="I14" s="2"/>
      <c r="J14" s="2"/>
      <c r="K14" s="2"/>
      <c r="L14" s="2"/>
      <c r="M14" s="2"/>
      <c r="N14" s="2"/>
      <c r="O14" s="2"/>
    </row>
    <row r="15" spans="2:15" ht="45" x14ac:dyDescent="0.25">
      <c r="B15" s="13">
        <v>3</v>
      </c>
      <c r="C15" s="7" t="inlineStr">
        <is>
          <t xml:space="preserve">متوسط</t>
        </is>
      </c>
      <c r="D15" s="7" t="inlineStr">
        <is>
          <t xml:space="preserve">توقف جزئي للخدمات مع استمرار تقديمها بصعوبة</t>
        </is>
      </c>
      <c r="E15" s="2" t="inlineStr">
        <is>
          <t xml:space="preserve">1 - 5 ملايين ريال</t>
        </is>
      </c>
      <c r="F15" s="2" t="inlineStr">
        <is>
          <t xml:space="preserve">خطر متصاعد يتطلب تدخلاً فورياً</t>
        </is>
      </c>
      <c r="G15" s="7" t="inlineStr">
        <is>
          <t xml:space="preserve">تغطية إعلامية محدودة وفقدان ثقة شريحة من العملاء</t>
        </is>
      </c>
      <c r="H15" s="2" t="inlineStr">
        <is>
          <t xml:space="preserve">خطر مخالفة تنظيمية يستوجب الإبلاغ</t>
        </is>
      </c>
      <c r="I15" s="2"/>
      <c r="J15" s="2"/>
      <c r="K15" s="2"/>
      <c r="L15" s="2"/>
      <c r="M15" s="2"/>
      <c r="N15" s="2"/>
      <c r="O15" s="2"/>
    </row>
    <row r="16" spans="2:15" ht="30" x14ac:dyDescent="0.25">
      <c r="B16" s="13">
        <v>4</v>
      </c>
      <c r="C16" s="7" t="inlineStr">
        <is>
          <t xml:space="preserve">كبير</t>
        </is>
      </c>
      <c r="D16" s="7" t="inlineStr">
        <is>
          <t xml:space="preserve">توقف خدمة حرجة لعدة ساعات وتأثر شريحة واسعة من العملاء</t>
        </is>
      </c>
      <c r="E16" s="2" t="inlineStr">
        <is>
          <t xml:space="preserve">5 - 25 مليون ريال</t>
        </is>
      </c>
      <c r="F16" s="2" t="inlineStr">
        <is>
          <t xml:space="preserve">خطر جسيم على السلامة</t>
        </is>
      </c>
      <c r="G16" s="7" t="inlineStr">
        <is>
          <t xml:space="preserve">أثر سمعة كبير وتدخل البنك المركزي</t>
        </is>
      </c>
      <c r="H16" s="2" t="inlineStr">
        <is>
          <t xml:space="preserve">غرامات تنظيمية وإجراءات تصحيحية إلزامية</t>
        </is>
      </c>
      <c r="I16" s="2"/>
      <c r="J16" s="2"/>
      <c r="K16" s="2"/>
      <c r="L16" s="2"/>
      <c r="M16" s="2"/>
      <c r="N16" s="2"/>
      <c r="O16" s="2"/>
    </row>
    <row r="17" spans="2:15" ht="45" x14ac:dyDescent="0.25">
      <c r="B17" s="13">
        <v>5</v>
      </c>
      <c r="C17" s="7" t="inlineStr">
        <is>
          <t xml:space="preserve">حرج</t>
        </is>
      </c>
      <c r="D17" s="7" t="inlineStr">
        <is>
          <t xml:space="preserve">توقف كامل للخدمات المصرفية الرقمية وتأثر جميع العملاء</t>
        </is>
      </c>
      <c r="E17" s="2" t="inlineStr">
        <is>
          <t xml:space="preserve">أكثر من 25 مليون ريال</t>
        </is>
      </c>
      <c r="F17" s="2" t="inlineStr">
        <is>
          <t xml:space="preserve">خسائر جسيمة أو تهديد مباشر للحياة</t>
        </is>
      </c>
      <c r="G17" s="7" t="inlineStr">
        <is>
          <t xml:space="preserve">أزمة سمعة وطنية وفقدان ثقة السوق</t>
        </is>
      </c>
      <c r="H17" s="2" t="inlineStr">
        <is>
          <t xml:space="preserve">عقوبات مشددة وإيقاف نشاط أو مسؤولية جنائية</t>
        </is>
      </c>
      <c r="I17" s="2"/>
      <c r="J17" s="2"/>
      <c r="K17" s="2"/>
      <c r="L17" s="2"/>
      <c r="M17" s="2"/>
      <c r="N17" s="2"/>
      <c r="O17" s="2"/>
    </row>
    <row r="18" spans="2:15" ht="15.75" thickBot="1" x14ac:dyDescent="0.3">
      <c r="B18" s="42"/>
      <c r="C18" s="42"/>
      <c r="D18" s="42"/>
      <c r="E18" s="42"/>
      <c r="F18" s="42"/>
      <c r="G18" s="42"/>
      <c r="H18" s="42"/>
    </row>
    <row r="19" spans="2:15" ht="15.75" thickTop="1" x14ac:dyDescent="0.25">
      <c r="B19"/>
      <c r="C19"/>
      <c r="D19"/>
      <c r="E19"/>
      <c r="F19"/>
      <c r="G19"/>
      <c r="H19"/>
    </row>
    <row r="20">
      <c r="B20"/>
      <c r="C20"/>
      <c r="D20"/>
      <c r="E20"/>
      <c r="F20"/>
      <c r="G20"/>
      <c r="H20"/>
    </row>
    <row r="21">
      <c r="B21"/>
      <c r="C21"/>
      <c r="D21"/>
      <c r="E21"/>
      <c r="F21"/>
      <c r="G21"/>
      <c r="H21"/>
    </row>
    <row r="22">
      <c r="B22"/>
      <c r="C22"/>
      <c r="D22"/>
      <c r="E22"/>
      <c r="F22"/>
      <c r="G22"/>
      <c r="H22"/>
    </row>
    <row r="23">
      <c r="B23"/>
      <c r="C23"/>
      <c r="D23"/>
      <c r="E23"/>
      <c r="F23"/>
      <c r="G23"/>
      <c r="H23"/>
    </row>
    <row r="24">
      <c r="B24"/>
      <c r="C24"/>
      <c r="D24"/>
      <c r="E24"/>
      <c r="F24"/>
      <c r="G24"/>
      <c r="H24"/>
    </row>
    <row r="25" spans="2:15" x14ac:dyDescent="0.25">
      <c r="B25" s="6"/>
      <c r="C25" s="6"/>
      <c r="D25" s="2"/>
      <c r="E25"/>
      <c r="F25"/>
      <c r="G25"/>
      <c r="H25"/>
    </row>
    <row r="26" spans="2:15" x14ac:dyDescent="0.25">
      <c r="B26" s="6"/>
      <c r="C26" s="6"/>
      <c r="D26" s="2"/>
      <c r="E26"/>
      <c r="F26"/>
      <c r="G26"/>
      <c r="H26"/>
    </row>
    <row r="27" spans="2:15" x14ac:dyDescent="0.25">
      <c r="B27" s="6"/>
      <c r="C27" s="6"/>
      <c r="D27" s="2"/>
      <c r="E27"/>
      <c r="F27"/>
      <c r="G27"/>
      <c r="H27"/>
    </row>
    <row r="28" spans="2:15" x14ac:dyDescent="0.25">
      <c r="B28" s="6"/>
      <c r="C28" s="6"/>
      <c r="D28" s="2"/>
      <c r="E28"/>
      <c r="F28"/>
      <c r="G28"/>
      <c r="H28"/>
    </row>
  </sheetData>
  <sheetProtection selectLockedCells="1" selectUnlockedCells="1"/>
  <pageMargins left="0.70866141732283472" right="0.70866141732283472" top="0.74803149606299213" bottom="0.74803149606299213" header="0.31496062992125984" footer="0.31496062992125984"/>
  <pageSetup paperSize="9" scale="99" orientation="landscape" horizontalDpi="1200" verticalDpi="1200" r:id="rId1"/>
  <headerFooter>
    <oddFooter>&amp;L&amp;D&amp;Cالصفحة &amp;P من &amp;N&amp;Rسري - استخدام داخلي</oddFooter>
  </headerFooter>
  <drawing r:id="rId2"/>
</worksheet>
</file>

<file path=xl/worksheets/sheet1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sheetPr codeName="Sheet13"/>
  <dimension ref="B4:J26"/>
  <sheetViews>
    <sheetView showGridLines="0" zoomScaleNormal="100" workbookViewId="0"/>
  </sheetViews>
  <sheetFormatPr defaultRowHeight="15" x14ac:dyDescent="0.25"/>
  <cols>
    <col min="1" max="1" width="2.85546875" customWidth="1"/>
    <col min="2" max="3" width="15" customWidth="1"/>
    <col min="4" max="4" width="9.140625" customWidth="1"/>
    <col min="5" max="5" width="38.140625" customWidth="1"/>
    <col min="7" max="7" width="16.42578125" customWidth="1"/>
    <col min="8" max="8" width="16.28515625" customWidth="1"/>
    <col min="9" max="9" width="18.42578125" customWidth="1"/>
    <col min="10" max="10" width="11.85546875" customWidth="1"/>
    <col min="11" max="11" width="17.28515625" customWidth="1"/>
  </cols>
  <sheetData>
    <row r="4" spans="2:10" ht="21" x14ac:dyDescent="0.35">
      <c r="B4" s="27" t="inlineStr">
        <is>
          <t xml:space="preserve">جداول الاختيار</t>
        </is>
      </c>
      <c r="C4" s="27"/>
    </row>
    <row r="6" spans="2:10" ht="15.75" x14ac:dyDescent="0.25">
      <c r="B6" s="105" t="inlineStr">
        <is>
          <t xml:space="preserve">من 1 إلى 5</t>
        </is>
      </c>
      <c r="C6" s="106"/>
      <c r="E6" s="43" t="inlineStr">
        <is>
          <t xml:space="preserve">خيارات المعالجة</t>
        </is>
      </c>
      <c r="J6" s="8"/>
    </row>
    <row r="7" spans="2:10" x14ac:dyDescent="0.25">
      <c r="B7" s="5">
        <v>1</v>
      </c>
      <c r="C7" s="5"/>
      <c r="D7" s="1"/>
      <c r="E7" t="inlineStr">
        <is>
          <t xml:space="preserve">القبول</t>
        </is>
      </c>
    </row>
    <row r="8" spans="2:10" x14ac:dyDescent="0.25">
      <c r="B8" s="5">
        <v>2</v>
      </c>
      <c r="C8" s="5"/>
      <c r="D8" s="1"/>
      <c r="E8" t="inlineStr">
        <is>
          <t xml:space="preserve">التجنب</t>
        </is>
      </c>
    </row>
    <row r="9" spans="2:10" x14ac:dyDescent="0.25">
      <c r="B9" s="5">
        <v>3</v>
      </c>
      <c r="C9" s="5"/>
      <c r="D9" s="1"/>
      <c r="E9" t="inlineStr">
        <is>
          <t xml:space="preserve">التخفيف</t>
        </is>
      </c>
    </row>
    <row r="10" spans="2:10" x14ac:dyDescent="0.25">
      <c r="B10" s="5">
        <v>4</v>
      </c>
      <c r="C10" s="5"/>
      <c r="D10" s="1"/>
      <c r="E10" t="inlineStr">
        <is>
          <t xml:space="preserve">النقل</t>
        </is>
      </c>
    </row>
    <row r="11" spans="2:10" x14ac:dyDescent="0.25">
      <c r="B11" s="5">
        <v>5</v>
      </c>
      <c r="C11" s="5"/>
      <c r="D11" s="1"/>
      <c r="E11"/>
    </row>
    <row r="12" spans="2:10" x14ac:dyDescent="0.25">
      <c r="B12" s="5"/>
      <c r="C12" s="5"/>
      <c r="D12" s="1"/>
    </row>
    <row r="13" spans="2:10" x14ac:dyDescent="0.25">
      <c r="B13" s="1"/>
      <c r="C13" s="1"/>
      <c r="D13" s="1"/>
    </row>
    <row r="14" spans="2:10" x14ac:dyDescent="0.25">
      <c r="B14" s="1"/>
      <c r="C14" s="1"/>
      <c r="D14" s="1"/>
    </row>
    <row r="15" spans="2:10" x14ac:dyDescent="0.25">
      <c r="B15" s="43" t="inlineStr">
        <is>
          <t xml:space="preserve">نوع الخطر</t>
        </is>
      </c>
      <c r="C15" s="44"/>
      <c r="D15" s="1"/>
      <c r="E15" s="43" t="inlineStr">
        <is>
          <t xml:space="preserve">حالة إجراء المعالجة</t>
        </is>
      </c>
    </row>
    <row r="16" spans="2:10" x14ac:dyDescent="0.25">
      <c r="B16" s="1" t="inlineStr">
        <is>
          <t xml:space="preserve">سرية (C)</t>
        </is>
      </c>
      <c r="C16" s="1"/>
      <c r="D16" s="1"/>
      <c r="E16" t="inlineStr">
        <is>
          <t xml:space="preserve">لم يبدأ</t>
        </is>
      </c>
    </row>
    <row r="17" spans="2:5" x14ac:dyDescent="0.25">
      <c r="B17" s="1" t="inlineStr">
        <is>
          <t xml:space="preserve">سلامة (I)</t>
        </is>
      </c>
      <c r="C17" s="1"/>
      <c r="D17" s="1"/>
      <c r="E17" t="inlineStr">
        <is>
          <t xml:space="preserve">قيد التنفيذ</t>
        </is>
      </c>
    </row>
    <row r="18" spans="2:5" x14ac:dyDescent="0.25">
      <c r="B18" s="1" t="inlineStr">
        <is>
          <t xml:space="preserve">توافر (A)</t>
        </is>
      </c>
      <c r="C18" s="1"/>
      <c r="D18" s="1"/>
      <c r="E18" t="inlineStr">
        <is>
          <t xml:space="preserve">مكتمل</t>
        </is>
      </c>
    </row>
    <row r="19" spans="2:5" x14ac:dyDescent="0.25">
      <c r="B19" s="1" t="inlineStr">
        <is>
          <t xml:space="preserve">سرية وسلامة (CI)</t>
        </is>
      </c>
      <c r="C19" s="1"/>
      <c r="D19" s="1"/>
      <c r="E19" t="inlineStr">
        <is>
          <t xml:space="preserve">مرفوض</t>
        </is>
      </c>
    </row>
    <row r="20" spans="2:5" x14ac:dyDescent="0.25">
      <c r="B20" s="1" t="inlineStr">
        <is>
          <t xml:space="preserve">سرية وتوافر (CA)</t>
        </is>
      </c>
      <c r="C20" s="1"/>
      <c r="D20" s="1"/>
      <c r="E20"/>
    </row>
    <row r="21" spans="2:5" x14ac:dyDescent="0.25">
      <c r="B21" s="1" t="inlineStr">
        <is>
          <t xml:space="preserve">سلامة وتوافر (IA)</t>
        </is>
      </c>
      <c r="C21" s="1"/>
      <c r="D21" s="1"/>
    </row>
    <row r="22" spans="2:5" x14ac:dyDescent="0.25">
      <c r="B22" s="1" t="inlineStr">
        <is>
          <t xml:space="preserve">سرية وسلامة وتوافر (CIA)</t>
        </is>
      </c>
      <c r="C22" s="1"/>
    </row>
    <row r="23" spans="2:5" x14ac:dyDescent="0.25">
      <c r="B23" s="1"/>
      <c r="C23" s="1"/>
    </row>
    <row r="24" spans="2:5" x14ac:dyDescent="0.25">
      <c r="B24" s="1"/>
      <c r="C24" s="1"/>
    </row>
    <row r="25" spans="2:5" x14ac:dyDescent="0.25">
      <c r="B25" s="1"/>
      <c r="C25" s="1"/>
    </row>
    <row r="26" spans="2:5" x14ac:dyDescent="0.25">
      <c r="B26" s="1"/>
      <c r="C26" s="1"/>
    </row>
  </sheetData>
  <pageMargins left="0.7" right="0.7" top="0.75" bottom="0.75" header="0.3" footer="0.3"/>
  <pageSetup paperSize="9" orientation="portrait" horizontalDpi="0" verticalDpi="0" r:id="rId1"/>
  <tableParts count="4">
    <tablePart r:id="rId2"/>
    <tablePart r:id="rId3"/>
    <tablePart r:id="rId4"/>
    <tablePart r:id="rId5"/>
  </tableParts>
</worksheet>
</file>

<file path=xl/worksheets/sheet1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8D770-B576-4A26-A0D0-FA27788A94F9}">
  <sheetPr codeName="Sheet17"/>
  <dimension ref="B4:T18"/>
  <sheetViews>
    <sheetView showGridLines="0" workbookViewId="0"/>
  </sheetViews>
  <sheetFormatPr defaultRowHeight="15" x14ac:dyDescent="0.25"/>
  <cols>
    <col min="1" max="1" width="2.85546875" customWidth="1"/>
    <col min="2" max="2" width="18" bestFit="1" customWidth="1"/>
    <col min="3" max="3" width="16.28515625" bestFit="1" customWidth="1"/>
    <col min="4" max="4" width="11.28515625" bestFit="1" customWidth="1"/>
    <col min="5" max="5" width="5.7109375" bestFit="1" customWidth="1"/>
    <col min="6" max="7" width="11.28515625" bestFit="1" customWidth="1"/>
    <col min="8" max="8" width="11" bestFit="1" customWidth="1"/>
    <col min="9" max="9" width="16.5703125" customWidth="1"/>
    <col min="10" max="10" width="18.5703125" customWidth="1"/>
    <col min="11" max="11" width="22.85546875" customWidth="1"/>
    <col min="12" max="12" width="12.28515625" bestFit="1" customWidth="1"/>
    <col min="13" max="13" width="10.28515625" bestFit="1" customWidth="1"/>
    <col min="14" max="14" width="12.85546875" bestFit="1" customWidth="1"/>
    <col min="15" max="15" width="26.7109375" customWidth="1"/>
    <col min="16" max="16" width="10.85546875" bestFit="1" customWidth="1"/>
    <col min="17" max="17" width="11.28515625" bestFit="1" customWidth="1"/>
    <col min="18" max="18" width="27.7109375" bestFit="1" customWidth="1"/>
    <col min="19" max="19" width="21.5703125" bestFit="1" customWidth="1"/>
    <col min="20" max="20" width="11.28515625" bestFit="1" customWidth="1"/>
    <col min="21" max="21" width="15.28515625" bestFit="1" customWidth="1"/>
    <col min="22" max="22" width="12.85546875" bestFit="1" customWidth="1"/>
    <col min="23" max="23" width="7.85546875" bestFit="1" customWidth="1"/>
    <col min="24" max="24" width="10.5703125" bestFit="1" customWidth="1"/>
    <col min="25" max="25" width="10.85546875" bestFit="1" customWidth="1"/>
    <col min="26" max="27" width="12.140625" bestFit="1" customWidth="1"/>
    <col min="28" max="28" width="11.28515625" bestFit="1" customWidth="1"/>
  </cols>
  <sheetData>
    <row r="4" spans="2:20" ht="21" x14ac:dyDescent="0.35">
      <c r="B4" s="27" t="inlineStr">
        <is>
          <t xml:space="preserve">الجداول المحورية</t>
        </is>
      </c>
    </row>
    <row r="6" spans="2:20" ht="15.75" x14ac:dyDescent="0.25">
      <c r="B6" s="25" t="inlineStr">
        <is>
          <t xml:space="preserve">جدول نوع الخطر</t>
        </is>
      </c>
      <c r="I6" s="26" t="inlineStr">
        <is>
          <t xml:space="preserve">جدول مالك الخطر</t>
        </is>
      </c>
      <c r="J6" s="24"/>
      <c r="K6" s="24"/>
      <c r="O6" s="26" t="inlineStr">
        <is>
          <t xml:space="preserve">جدول خيار المعالجة</t>
        </is>
      </c>
      <c r="R6" s="25" t="inlineStr">
        <is>
          <t xml:space="preserve">المخاطر قبل المعالجة وبعدها</t>
        </is>
      </c>
      <c r="S6" s="9"/>
      <c r="T6" s="9"/>
    </row>
    <row r="8" spans="2:20" x14ac:dyDescent="0.25">
      <c r="B8" s="43"/>
      <c r="C8" s="43"/>
      <c r="D8" s="43"/>
      <c r="I8" s="43"/>
      <c r="J8" s="43"/>
      <c r="K8" s="43"/>
      <c r="O8" s="43"/>
      <c r="R8" t="inlineStr">
        <is>
          <t xml:space="preserve">مستوى الخطر</t>
        </is>
      </c>
      <c r="S8" t="inlineStr">
        <is>
          <t xml:space="preserve">قبل المعالجة</t>
        </is>
      </c>
      <c r="T8" t="inlineStr">
        <is>
          <t xml:space="preserve">بعد المعالجة</t>
        </is>
      </c>
    </row>
    <row r="9" spans="2:20" x14ac:dyDescent="0.25">
      <c r="B9" s="43"/>
      <c r="C9" s="43"/>
      <c r="D9" s="43"/>
      <c r="I9" s="43"/>
      <c r="J9" s="43"/>
      <c r="K9" s="43"/>
      <c r="O9" s="5"/>
      <c r="R9" t="inlineStr">
        <is>
          <t xml:space="preserve">منخفض</t>
        </is>
      </c>
      <c r="S9">
        <f>COUNTIF(RiskAssessment[مستوى الخطر],Table1[[#This Row],[مستوى الخطر]])</f>
        <v>0</v>
      </c>
      <c r="T9">
        <f>COUNTIF(RiskAssessment[مستوى الخطر بعد المعالجة],Table1[[#This Row],[مستوى الخطر]])</f>
        <v>0</v>
      </c>
    </row>
    <row r="10" spans="2:20" x14ac:dyDescent="0.25">
      <c r="B10" s="5"/>
      <c r="C10" s="71"/>
      <c r="D10" s="71"/>
      <c r="I10" s="5"/>
      <c r="J10"/>
      <c r="K10"/>
      <c r="O10" s="105"/>
      <c r="R10" t="inlineStr">
        <is>
          <t xml:space="preserve">متوسط</t>
        </is>
      </c>
      <c r="S10">
        <f>COUNTIF(RiskAssessment[مستوى الخطر],Table1[[#This Row],[مستوى الخطر]])</f>
        <v>0</v>
      </c>
      <c r="T10">
        <f>COUNTIF(RiskAssessment[مستوى الخطر بعد المعالجة],Table1[[#This Row],[مستوى الخطر]])</f>
        <v>0</v>
      </c>
    </row>
    <row r="11" spans="2:20" x14ac:dyDescent="0.25">
      <c r="B11" s="105"/>
      <c r="C11" s="107"/>
      <c r="D11" s="107"/>
      <c r="I11" s="105"/>
      <c r="J11" s="43"/>
      <c r="K11" s="43"/>
      <c r="O11" t="inlineStr">
        <is>
          <t xml:space="preserve">النقل</t>
        </is>
      </c>
      <c r="R11" t="inlineStr">
        <is>
          <t xml:space="preserve">مرتفع</t>
        </is>
      </c>
      <c r="S11">
        <f>COUNTIF(RiskAssessment[مستوى الخطر],Table1[[#This Row],[مستوى الخطر]])</f>
        <v>0</v>
      </c>
      <c r="T11">
        <f>COUNTIF(RiskAssessment[مستوى الخطر بعد المعالجة],Table1[[#This Row],[مستوى الخطر]])</f>
        <v>0</v>
      </c>
    </row>
    <row r="12" spans="2:20" x14ac:dyDescent="0.25">
      <c r="B12" s="105"/>
      <c r="C12" s="107"/>
      <c r="D12" s="107"/>
      <c r="I12" s="105"/>
      <c r="J12" s="43"/>
      <c r="K12" s="43"/>
      <c r="O12" t="inlineStr">
        <is>
          <t xml:space="preserve">القبول</t>
        </is>
      </c>
      <c r="R12" t="inlineStr">
        <is>
          <t xml:space="preserve">حرج</t>
        </is>
      </c>
      <c r="S12">
        <f>COUNTIF(RiskAssessment[مستوى الخطر],Table1[[#This Row],[مستوى الخطر]])</f>
        <v>0</v>
      </c>
      <c r="T12">
        <f>COUNTIF(RiskAssessment[مستوى الخطر بعد المعالجة],Table1[[#This Row],[مستوى الخطر]])</f>
        <v>0</v>
      </c>
    </row>
    <row r="13" spans="2:20" x14ac:dyDescent="0.25">
      <c r="O13" t="inlineStr">
        <is>
          <t xml:space="preserve">الإجمالي العام</t>
        </is>
      </c>
      <c r="R13" s="25" t="inlineStr">
        <is>
          <t xml:space="preserve">جدول تكلفة المعالجة</t>
        </is>
      </c>
    </row>
    <row r="15" spans="2:20" x14ac:dyDescent="0.25">
      <c r="R15" s="43"/>
      <c r="S15" s="43"/>
    </row>
    <row r="16" spans="2:20" x14ac:dyDescent="0.25">
      <c r="R16" s="5"/>
      <c r="S16"/>
    </row>
    <row r="17" spans="5:19" x14ac:dyDescent="0.25">
      <c r="R17" s="105"/>
      <c r="S17" s="43"/>
    </row>
    <row r="18" spans="5:19" x14ac:dyDescent="0.25">
      <c r="E18" s="24"/>
      <c r="F18" s="24"/>
      <c r="G18" s="24"/>
      <c r="R18" t="inlineStr">
        <is>
          <t xml:space="preserve">مرتفع</t>
        </is>
      </c>
      <c r="S18">
        <v>4490000</v>
      </c>
    </row>
    <row r="19">
      <c r="R19" t="inlineStr">
        <is>
          <t xml:space="preserve">منخفض</t>
        </is>
      </c>
      <c r="S19">
        <v>0</v>
      </c>
    </row>
    <row r="20">
      <c r="R20" t="inlineStr">
        <is>
          <t xml:space="preserve">الإجمالي العام</t>
        </is>
      </c>
      <c r="S20">
        <v>21295000</v>
      </c>
    </row>
  </sheetData>
  <sheetProtection selectLockedCells="1" selectUnlockedCells="1"/>
  <pageMargins left="0.7" right="0.7" top="0.75" bottom="0.75" header="0.3" footer="0.3"/>
  <pageSetup paperSize="9" orientation="portrait" horizontalDpi="0" verticalDpi="0"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4.xml>��
</file>

<file path=customXml/itemProps1.xml><?xml version="1.0" encoding="utf-8"?>
<ds:datastoreItem xmlns:ds="http://schemas.openxmlformats.org/officeDocument/2006/customXml" ds:itemID="{B0BF27F7-29FE-40C7-885D-152E9BA05D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f04bc-9f60-4a9d-874f-9541ee77ebfe"/>
    <ds:schemaRef ds:uri="89244998-67c5-4bad-a13d-4acc63ad7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3.xml><?xml version="1.0" encoding="utf-8"?>
<ds:datastoreItem xmlns:ds="http://schemas.openxmlformats.org/officeDocument/2006/customXml" ds:itemID="{C08B4250-B95D-49BB-B3C5-3FC868E45619}">
  <ds:schemaRefs>
    <ds:schemaRef ds:uri="http://schemas.microsoft.com/office/2006/documentManagement/types"/>
    <ds:schemaRef ds:uri="f1cf04bc-9f60-4a9d-874f-9541ee77ebf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purl.org/dc/terms/"/>
    <ds:schemaRef ds:uri="http://www.w3.org/XML/1998/namespace"/>
    <ds:schemaRef ds:uri="http://purl.org/dc/dcmitype/"/>
    <ds:schemaRef ds:uri="89244998-67c5-4bad-a13d-4acc63ad7b2f"/>
  </ds:schemaRefs>
</ds:datastoreItem>
</file>

<file path=customXml/itemProps4.xml><?xml version="1.0" encoding="utf-8"?>
<ds:datastoreItem xmlns:ds="http://schemas.openxmlformats.org/officeDocument/2006/customXml" ds:itemID="{1ECB737B-7BDF-49F9-BFC9-A1EE928259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8</vt:i4>
      </vt:variant>
    </vt:vector>
  </HeadingPairs>
  <TitlesOfParts>
    <vt:vector size="27" baseType="lpstr">
      <vt:lpstr>Guidance</vt:lpstr>
      <vt:lpstr>Assessment Details</vt:lpstr>
      <vt:lpstr>Risk Assessment</vt:lpstr>
      <vt:lpstr>Dashboard</vt:lpstr>
      <vt:lpstr>Pre-treatment risks</vt:lpstr>
      <vt:lpstr>Pre-treat risk levels by owner</vt:lpstr>
      <vt:lpstr>Post-treatment risks</vt:lpstr>
      <vt:lpstr>Risks by risk level pre &amp; post</vt:lpstr>
      <vt:lpstr>Treatment option chosen</vt:lpstr>
      <vt:lpstr>Treatment cost </vt:lpstr>
      <vt:lpstr>Treatment action owner </vt:lpstr>
      <vt:lpstr>Reference Controls</vt:lpstr>
      <vt:lpstr>Example ATV Risks</vt:lpstr>
      <vt:lpstr>Example Assets</vt:lpstr>
      <vt:lpstr>Example Threats</vt:lpstr>
      <vt:lpstr>Likelihood</vt:lpstr>
      <vt:lpstr>Impact</vt:lpstr>
      <vt:lpstr>Selection Tables</vt:lpstr>
      <vt:lpstr>Pivot tables</vt:lpstr>
      <vt:lpstr>NoRisksPre</vt:lpstr>
      <vt:lpstr>Guidance!Print_Area</vt:lpstr>
      <vt:lpstr>'Reference Controls'!Print_Area</vt:lpstr>
      <vt:lpstr>'Risk Assessment'!Print_Area</vt:lpstr>
      <vt:lpstr>'Example Assets'!Print_Titles</vt:lpstr>
      <vt:lpstr>'Example ATV Risks'!Print_Titles</vt:lpstr>
      <vt:lpstr>'Reference Controls'!Print_Titles</vt:lpstr>
      <vt:lpstr>'Risk Assessment'!Print_Titles</vt:lpstr>
    </vt:vector>
  </TitlesOfParts>
  <Company>بنك الآفاق الرقمية</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أداة تقييم ومعالجة المخاطر القائمة على الأصول - بنك الآفاق الرقمية</dc:title>
  <dc:subject>ISMS-FORM-06-1 - 32 خطراً</dc:subject>
  <dc:creator>بنك الآفاق الرقمية - إدارة أمن المعلومات</dc:creator>
  <cp:keywords>ISMS, Risk Assessment, Risk Treatment, ISO 27001 6.1.2, بنك الآفاق الرقمية</cp:keywords>
  <cp:lastModifiedBy>مدير إدارة أمن المعلومات</cp:lastModifiedBy>
  <cp:revision>1</cp:revision>
  <dcterms:created xsi:type="dcterms:W3CDTF">2026-04-02T08:00:00Z</dcterms:created>
  <dcterms:modified xsi:type="dcterms:W3CDTF">2026-09-12T09:00:00Z</dcterms:modified>
  <cp:category>سري - استخدام داخلي</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1274300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